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
    </mc:Choice>
  </mc:AlternateContent>
  <bookViews>
    <workbookView xWindow="480" yWindow="615" windowWidth="14910" windowHeight="11250" tabRatio="670" firstSheet="1" activeTab="4"/>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Y-AllRed" sheetId="10" state="hidden" r:id="rId11"/>
    <sheet name="DetZone" sheetId="11" state="hidden" r:id="rId12"/>
  </sheets>
  <calcPr calcId="162913"/>
</workbook>
</file>

<file path=xl/calcChain.xml><?xml version="1.0" encoding="utf-8"?>
<calcChain xmlns="http://schemas.openxmlformats.org/spreadsheetml/2006/main">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c r="C136" i="4" l="1"/>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U15" i="7" s="1"/>
  <c r="D3" i="2"/>
  <c r="D14" i="2" s="1"/>
  <c r="C56" i="6"/>
  <c r="BD49" i="6"/>
  <c r="A29" i="7"/>
  <c r="D6" i="2"/>
  <c r="D11" i="2" s="1"/>
  <c r="AA13" i="7"/>
  <c r="AA15" i="7" s="1"/>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V50" i="6"/>
  <c r="R7" i="9"/>
  <c r="R9" i="9" s="1"/>
  <c r="R23" i="9"/>
  <c r="P24" i="9"/>
  <c r="P25" i="9" s="1"/>
  <c r="V23" i="9"/>
  <c r="P7" i="9"/>
  <c r="P9" i="9" s="1"/>
  <c r="B12" i="2" l="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B16" i="2"/>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H11" i="7"/>
  <c r="H13" i="7"/>
  <c r="R3" i="9"/>
  <c r="T19" i="9" s="1"/>
  <c r="H9" i="7"/>
  <c r="C14" i="6"/>
  <c r="D17" i="6" s="1"/>
  <c r="T28" i="9"/>
  <c r="S28" i="9" s="1"/>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T8" i="9"/>
  <c r="S8" i="9" s="1"/>
  <c r="I35" i="4"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8" i="9"/>
  <c r="P10" i="9"/>
  <c r="P11" i="9" s="1"/>
  <c r="R8" i="9"/>
  <c r="R10" i="9"/>
  <c r="R11" i="9" s="1"/>
  <c r="F5" i="4"/>
  <c r="BD53" i="6" l="1"/>
  <c r="M113" i="4"/>
  <c r="D114" i="4" s="1"/>
  <c r="X11" i="2"/>
  <c r="X9" i="2"/>
  <c r="Z30" i="4"/>
  <c r="Y30" i="4"/>
  <c r="F132" i="4"/>
  <c r="F138" i="4" s="1"/>
  <c r="V8" i="9"/>
  <c r="U8" i="9" s="1"/>
  <c r="L35" i="4" s="1"/>
  <c r="V10" i="9"/>
  <c r="V11" i="9" s="1"/>
  <c r="U11" i="9" s="1"/>
  <c r="L36" i="4" s="1"/>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S11" i="9"/>
  <c r="I36" i="4" s="1"/>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Q11" i="9"/>
  <c r="F36" i="4" s="1"/>
  <c r="G36" i="4"/>
  <c r="H36" i="4" s="1"/>
  <c r="O8" i="9"/>
  <c r="C35" i="4" s="1"/>
  <c r="D35" i="4"/>
  <c r="E35" i="4" s="1"/>
  <c r="F9" i="4"/>
  <c r="F7" i="4"/>
  <c r="O11" i="9"/>
  <c r="C36" i="4" s="1"/>
  <c r="D36" i="4"/>
  <c r="E36" i="4" s="1"/>
  <c r="G35" i="4"/>
  <c r="H35" i="4" s="1"/>
  <c r="Q8" i="9"/>
  <c r="F35" i="4" s="1"/>
  <c r="X12" i="2" l="1"/>
  <c r="B15" i="2" s="1"/>
  <c r="F139" i="4"/>
  <c r="C35" i="6"/>
  <c r="Z31" i="4"/>
  <c r="Y31" i="4"/>
  <c r="M36" i="4"/>
  <c r="N36" i="4" s="1"/>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H22" i="2" l="1"/>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Z13" i="4" s="1"/>
  <c r="Z15" i="4"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H27" i="2" l="1"/>
  <c r="Z42" i="2" s="1"/>
  <c r="H28" i="2"/>
  <c r="AJ3" i="7" s="1"/>
  <c r="F27" i="2"/>
  <c r="AD42" i="2" s="1"/>
  <c r="F23" i="2"/>
  <c r="AB13" i="4" s="1"/>
  <c r="AB15" i="4" s="1"/>
  <c r="AB17" i="4" s="1"/>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C13" i="4" s="1"/>
  <c r="AC15" i="4" s="1"/>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AA13" i="4" s="1"/>
  <c r="AA15" i="4" s="1"/>
  <c r="AA17" i="4" s="1"/>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H33" i="4" s="1"/>
  <c r="R9" i="7" s="1"/>
  <c r="G35" i="2"/>
  <c r="AG42" i="2"/>
  <c r="M33" i="4"/>
  <c r="N19" i="4"/>
  <c r="T14" i="1"/>
  <c r="U15" i="1" s="1"/>
  <c r="E9" i="4"/>
  <c r="L9" i="4"/>
  <c r="L7" i="4"/>
  <c r="L26" i="4" s="1"/>
  <c r="Z17" i="4"/>
  <c r="I9" i="4"/>
  <c r="I7" i="4"/>
  <c r="L19" i="4"/>
  <c r="D14" i="1" l="1"/>
  <c r="D42" i="2"/>
  <c r="I15" i="1"/>
  <c r="L18" i="4"/>
  <c r="L33" i="4" s="1"/>
  <c r="I14" i="1"/>
  <c r="V49" i="2"/>
  <c r="V50" i="2" s="1"/>
  <c r="AD41" i="2"/>
  <c r="T49" i="2"/>
  <c r="T50" i="2" s="1"/>
  <c r="AJ2" i="7"/>
  <c r="Z41" i="2"/>
  <c r="AB16" i="4"/>
  <c r="AB18" i="4" s="1"/>
  <c r="AH2" i="7"/>
  <c r="E30" i="2"/>
  <c r="I18" i="4"/>
  <c r="I33" i="4" s="1"/>
  <c r="I14" i="4"/>
  <c r="I66" i="4" s="1"/>
  <c r="AU26" i="4"/>
  <c r="AU27" i="4"/>
  <c r="J16" i="4"/>
  <c r="AT28" i="4" s="1"/>
  <c r="M16" i="4"/>
  <c r="AC16" i="4"/>
  <c r="AT24" i="4"/>
  <c r="M62" i="4"/>
  <c r="M66" i="4" s="1"/>
  <c r="AT27" i="4"/>
  <c r="AC1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Z16" i="4"/>
  <c r="Z18" i="4" s="1"/>
  <c r="Q42" i="2"/>
  <c r="F18" i="4"/>
  <c r="F33" i="4" s="1"/>
  <c r="AF41" i="2"/>
  <c r="R49" i="2"/>
  <c r="R50" i="2" s="1"/>
  <c r="AU10" i="4"/>
  <c r="V36" i="2"/>
  <c r="U41" i="2" s="1"/>
  <c r="AA16" i="4"/>
  <c r="AA18" i="4"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E33" i="4" s="1"/>
  <c r="L13" i="7" s="1"/>
  <c r="I19" i="4"/>
  <c r="S15" i="1"/>
  <c r="H19" i="4"/>
  <c r="O16" i="1"/>
  <c r="P16" i="1" s="1"/>
  <c r="D15" i="1"/>
  <c r="D16" i="1" s="1"/>
  <c r="J83" i="7"/>
  <c r="T65" i="4"/>
  <c r="T16" i="1"/>
  <c r="U16" i="1" s="1"/>
  <c r="X65" i="4"/>
  <c r="N33" i="4"/>
  <c r="N4" i="7" s="1"/>
  <c r="X35" i="4"/>
  <c r="N83" i="7"/>
  <c r="O9" i="4"/>
  <c r="V65" i="4"/>
  <c r="V35" i="4"/>
  <c r="K33" i="4"/>
  <c r="P17" i="7" s="1"/>
  <c r="L83" i="7"/>
  <c r="L27" i="4"/>
  <c r="L66" i="4"/>
  <c r="I25" i="1"/>
  <c r="L98" i="4"/>
  <c r="I26" i="4"/>
  <c r="I15" i="4"/>
  <c r="M15" i="4"/>
  <c r="L15" i="4"/>
  <c r="J15" i="4"/>
  <c r="AJ5" i="7"/>
  <c r="P4" i="7" s="1"/>
  <c r="I16" i="1"/>
  <c r="M26" i="4" l="1"/>
  <c r="M27" i="4" s="1"/>
  <c r="AH5" i="7"/>
  <c r="N17" i="7" s="1"/>
  <c r="Q41" i="2"/>
  <c r="K36" i="2" s="1"/>
  <c r="S41" i="2"/>
  <c r="M36" i="2" s="1"/>
  <c r="I98" i="4"/>
  <c r="D25" i="1"/>
  <c r="AC18" i="4"/>
  <c r="AB19" i="4" s="1"/>
  <c r="AB20" i="4" s="1"/>
  <c r="AB21" i="4" s="1"/>
  <c r="AI30" i="4" s="1"/>
  <c r="AJ32" i="4" s="1"/>
  <c r="AQ35" i="4" s="1"/>
  <c r="AU25" i="4"/>
  <c r="F98" i="4"/>
  <c r="AV27" i="4"/>
  <c r="AU28" i="4"/>
  <c r="AU24" i="4"/>
  <c r="AV26" i="4"/>
  <c r="AT23" i="4"/>
  <c r="AT21" i="4"/>
  <c r="AT22" i="4"/>
  <c r="Y35" i="4"/>
  <c r="Z35" i="4"/>
  <c r="F66" i="4"/>
  <c r="Z19" i="4"/>
  <c r="Z20" i="4" s="1"/>
  <c r="Z21" i="4" s="1"/>
  <c r="AI14" i="4" s="1"/>
  <c r="AL15" i="4" s="1"/>
  <c r="S16" i="1"/>
  <c r="Q45" i="2"/>
  <c r="F27" i="4"/>
  <c r="G26" i="4"/>
  <c r="G27" i="4" s="1"/>
  <c r="U45" i="2"/>
  <c r="N16" i="1"/>
  <c r="C39" i="9"/>
  <c r="B51" i="1"/>
  <c r="AV10" i="4"/>
  <c r="AT4" i="4"/>
  <c r="C66" i="4"/>
  <c r="AU8" i="4"/>
  <c r="AT6" i="4"/>
  <c r="AU7" i="4"/>
  <c r="AT5" i="4"/>
  <c r="AV9" i="4"/>
  <c r="C98" i="4"/>
  <c r="C27" i="4"/>
  <c r="C33" i="4"/>
  <c r="G83" i="7" s="1"/>
  <c r="R35" i="4"/>
  <c r="R65" i="4"/>
  <c r="H83" i="7"/>
  <c r="L91" i="7" s="1"/>
  <c r="H91" i="7"/>
  <c r="N91"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AL32" i="4" l="1"/>
  <c r="AS35" i="4" s="1"/>
  <c r="AK31" i="4"/>
  <c r="AJ33" i="4"/>
  <c r="AL31" i="4"/>
  <c r="AK32" i="4"/>
  <c r="AR35" i="4" s="1"/>
  <c r="AK33" i="4"/>
  <c r="AJ31" i="4"/>
  <c r="AL33" i="4"/>
  <c r="Y36" i="4"/>
  <c r="Z36" i="4"/>
  <c r="AL16" i="4"/>
  <c r="AS33" i="4" s="1"/>
  <c r="AK17" i="4"/>
  <c r="AJ16" i="4"/>
  <c r="AQ33" i="4" s="1"/>
  <c r="AK15" i="4"/>
  <c r="AK16" i="4"/>
  <c r="AR33" i="4" s="1"/>
  <c r="AJ15" i="4"/>
  <c r="AJ17" i="4"/>
  <c r="AL17" i="4"/>
  <c r="C40" i="9"/>
  <c r="B52" i="1"/>
  <c r="J91" i="7"/>
  <c r="J92" i="7" s="1"/>
  <c r="Q65" i="4"/>
  <c r="Q35" i="4"/>
  <c r="N92" i="7"/>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I91" i="7"/>
  <c r="I92" i="7" s="1"/>
  <c r="K91" i="7"/>
  <c r="K92" i="7" s="1"/>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G91" i="7"/>
  <c r="G92" i="7" s="1"/>
  <c r="M91" i="7"/>
  <c r="M92" i="7" s="1"/>
  <c r="L92" i="7"/>
  <c r="H92" i="7"/>
  <c r="C23" i="4" l="1"/>
  <c r="O17" i="4"/>
  <c r="B53" i="1"/>
  <c r="C41" i="9"/>
  <c r="N93" i="7"/>
  <c r="J67" i="1" s="1"/>
  <c r="N94" i="7"/>
  <c r="J94" i="7"/>
  <c r="J93" i="7"/>
  <c r="F67" i="1" s="1"/>
  <c r="M94" i="7"/>
  <c r="M93" i="7"/>
  <c r="I67" i="1" s="1"/>
  <c r="I6" i="9"/>
  <c r="I17" i="9" s="1"/>
  <c r="I33" i="9" s="1"/>
  <c r="H46" i="1" s="1"/>
  <c r="T18" i="9"/>
  <c r="S31" i="4"/>
  <c r="R63" i="4"/>
  <c r="S41" i="4"/>
  <c r="L94" i="7"/>
  <c r="L93" i="7"/>
  <c r="H67" i="1" s="1"/>
  <c r="K94" i="7"/>
  <c r="K93" i="7"/>
  <c r="G67" i="1" s="1"/>
  <c r="W63" i="4"/>
  <c r="T32" i="4"/>
  <c r="T42" i="4"/>
  <c r="H93" i="7"/>
  <c r="D67" i="1" s="1"/>
  <c r="H94" i="7"/>
  <c r="G94" i="7"/>
  <c r="G93"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I94" i="7"/>
  <c r="I93" i="7"/>
  <c r="E67" i="1" s="1"/>
  <c r="U31" i="4"/>
  <c r="U41" i="4"/>
  <c r="T63" i="4"/>
  <c r="D50" i="9"/>
  <c r="C63" i="1" s="1"/>
  <c r="D46" i="9"/>
  <c r="D11" i="9"/>
  <c r="D31" i="9" s="1"/>
  <c r="D18" i="9"/>
  <c r="D43" i="9" s="1"/>
  <c r="D6" i="9"/>
  <c r="D17" i="9" s="1"/>
  <c r="D33" i="9" s="1"/>
  <c r="C46" i="1" s="1"/>
  <c r="R42" i="4"/>
  <c r="R32" i="4"/>
  <c r="U63" i="4"/>
  <c r="C24" i="4" l="1"/>
  <c r="V23" i="4"/>
  <c r="AB24" i="4" s="1"/>
  <c r="AC24" i="4" s="1"/>
  <c r="C42" i="9"/>
  <c r="B54" i="1"/>
  <c r="F16" i="9"/>
  <c r="F36" i="9" s="1"/>
  <c r="E49" i="1" s="1"/>
  <c r="K17" i="9"/>
  <c r="K33" i="9" s="1"/>
  <c r="J46" i="1" s="1"/>
  <c r="K5" i="9"/>
  <c r="K11" i="9" s="1"/>
  <c r="K31" i="9" s="1"/>
  <c r="J69" i="1"/>
  <c r="J77" i="1" s="1"/>
  <c r="J71" i="1" s="1"/>
  <c r="X69" i="4"/>
  <c r="W69" i="4"/>
  <c r="J16" i="9"/>
  <c r="J36" i="9" s="1"/>
  <c r="I49" i="1" s="1"/>
  <c r="E5" i="9"/>
  <c r="E11" i="9" s="1"/>
  <c r="E31" i="9" s="1"/>
  <c r="D16" i="9"/>
  <c r="D36" i="9" s="1"/>
  <c r="C49" i="1" s="1"/>
  <c r="G56" i="1"/>
  <c r="Y45" i="4"/>
  <c r="C59" i="1"/>
  <c r="C73" i="1" s="1"/>
  <c r="K49" i="2"/>
  <c r="J60" i="2" s="1"/>
  <c r="E69" i="1"/>
  <c r="D8" i="9"/>
  <c r="D7" i="9"/>
  <c r="F7" i="9"/>
  <c r="F8" i="9"/>
  <c r="C69" i="1"/>
  <c r="D69" i="1"/>
  <c r="F69" i="1"/>
  <c r="H17" i="9"/>
  <c r="H33" i="9" s="1"/>
  <c r="G46" i="1" s="1"/>
  <c r="G5" i="9"/>
  <c r="G11" i="9" s="1"/>
  <c r="G31" i="9" s="1"/>
  <c r="G17" i="9"/>
  <c r="G33" i="9" s="1"/>
  <c r="F46" i="1" s="1"/>
  <c r="Y44" i="4"/>
  <c r="C56" i="1"/>
  <c r="G59" i="1"/>
  <c r="G73" i="1" s="1"/>
  <c r="K50" i="2"/>
  <c r="J61" i="2" s="1"/>
  <c r="G7" i="9"/>
  <c r="G9" i="9"/>
  <c r="G8" i="9"/>
  <c r="E7" i="9"/>
  <c r="E9" i="9"/>
  <c r="E8" i="9"/>
  <c r="I69" i="1"/>
  <c r="H7" i="9"/>
  <c r="H8" i="9"/>
  <c r="V69" i="4"/>
  <c r="R69" i="4"/>
  <c r="T69" i="4"/>
  <c r="U69" i="4"/>
  <c r="S69" i="4"/>
  <c r="Q69" i="4"/>
  <c r="I56" i="1"/>
  <c r="AA45" i="4"/>
  <c r="K9" i="9"/>
  <c r="K7" i="9"/>
  <c r="K8" i="9"/>
  <c r="G69" i="1"/>
  <c r="I8" i="9"/>
  <c r="I7" i="9"/>
  <c r="I9" i="9"/>
  <c r="I16" i="9"/>
  <c r="I36" i="9" s="1"/>
  <c r="H49" i="1" s="1"/>
  <c r="AA44" i="4"/>
  <c r="E56" i="1"/>
  <c r="J8" i="9"/>
  <c r="J7" i="9"/>
  <c r="H69" i="1"/>
  <c r="E17" i="9"/>
  <c r="E33" i="9" s="1"/>
  <c r="D46" i="1" s="1"/>
  <c r="I5" i="9"/>
  <c r="I11" i="9" s="1"/>
  <c r="I31" i="9" s="1"/>
  <c r="Y125" i="4" l="1"/>
  <c r="AA125" i="4"/>
  <c r="C43" i="9"/>
  <c r="B55" i="1"/>
  <c r="J70" i="1"/>
  <c r="I57" i="9"/>
  <c r="AA35" i="9" s="1"/>
  <c r="I38" i="9"/>
  <c r="H51" i="1" s="1"/>
  <c r="H77" i="1"/>
  <c r="H71" i="1" s="1"/>
  <c r="H70" i="1"/>
  <c r="J38" i="9"/>
  <c r="I51" i="1" s="1"/>
  <c r="J57" i="9"/>
  <c r="AA34" i="9" s="1"/>
  <c r="I56" i="9"/>
  <c r="Y35" i="9" s="1"/>
  <c r="AE35" i="9" s="1"/>
  <c r="I37" i="9"/>
  <c r="H50" i="1" s="1"/>
  <c r="K57" i="9"/>
  <c r="AA33" i="9" s="1"/>
  <c r="K38" i="9"/>
  <c r="J51" i="1" s="1"/>
  <c r="J56" i="9"/>
  <c r="Y34" i="9" s="1"/>
  <c r="AE34" i="9" s="1"/>
  <c r="J37" i="9"/>
  <c r="I50" i="1" s="1"/>
  <c r="I40" i="9"/>
  <c r="I10" i="9"/>
  <c r="I41" i="9" s="1"/>
  <c r="H54" i="1" s="1"/>
  <c r="I39" i="9"/>
  <c r="H52" i="1" s="1"/>
  <c r="H57" i="9"/>
  <c r="AA36" i="9" s="1"/>
  <c r="H38" i="9"/>
  <c r="G51" i="1" s="1"/>
  <c r="E10" i="9"/>
  <c r="E41" i="9" s="1"/>
  <c r="D54" i="1" s="1"/>
  <c r="E40" i="9"/>
  <c r="E39" i="9"/>
  <c r="D52" i="1" s="1"/>
  <c r="G56" i="9"/>
  <c r="Y37" i="9" s="1"/>
  <c r="AE37" i="9" s="1"/>
  <c r="G37" i="9"/>
  <c r="F50" i="1" s="1"/>
  <c r="F56" i="9"/>
  <c r="Y38" i="9" s="1"/>
  <c r="AE38" i="9" s="1"/>
  <c r="F37" i="9"/>
  <c r="E50" i="1" s="1"/>
  <c r="G70" i="1"/>
  <c r="G76" i="1"/>
  <c r="G77" i="1" s="1"/>
  <c r="G71" i="1" s="1"/>
  <c r="K10" i="9"/>
  <c r="K41" i="9" s="1"/>
  <c r="J54" i="1" s="1"/>
  <c r="K40" i="9"/>
  <c r="K39" i="9"/>
  <c r="J52" i="1" s="1"/>
  <c r="E57" i="9"/>
  <c r="AA39" i="9" s="1"/>
  <c r="E38" i="9"/>
  <c r="D51" i="1" s="1"/>
  <c r="G10" i="9"/>
  <c r="G41" i="9" s="1"/>
  <c r="F54" i="1" s="1"/>
  <c r="G40" i="9"/>
  <c r="G39" i="9"/>
  <c r="F52" i="1" s="1"/>
  <c r="D70" i="1"/>
  <c r="D77" i="1"/>
  <c r="D71" i="1" s="1"/>
  <c r="F57" i="9"/>
  <c r="AA38" i="9" s="1"/>
  <c r="F38" i="9"/>
  <c r="E51" i="1" s="1"/>
  <c r="E76" i="1"/>
  <c r="E77" i="1" s="1"/>
  <c r="E71" i="1" s="1"/>
  <c r="E70" i="1"/>
  <c r="I76" i="1"/>
  <c r="I77" i="1" s="1"/>
  <c r="I71" i="1" s="1"/>
  <c r="I70" i="1"/>
  <c r="G38" i="9"/>
  <c r="F51" i="1" s="1"/>
  <c r="G57" i="9"/>
  <c r="AA37" i="9" s="1"/>
  <c r="D38" i="9"/>
  <c r="C51" i="1" s="1"/>
  <c r="D57" i="9"/>
  <c r="AA40" i="9" s="1"/>
  <c r="K56" i="9"/>
  <c r="Y33" i="9" s="1"/>
  <c r="AE33" i="9" s="1"/>
  <c r="K37" i="9"/>
  <c r="J50" i="1" s="1"/>
  <c r="H56" i="9"/>
  <c r="Y36" i="9" s="1"/>
  <c r="AE36" i="9" s="1"/>
  <c r="H37" i="9"/>
  <c r="G50" i="1" s="1"/>
  <c r="E37" i="9"/>
  <c r="D50" i="1" s="1"/>
  <c r="E56" i="9"/>
  <c r="Y39" i="9" s="1"/>
  <c r="AE39" i="9" s="1"/>
  <c r="F70" i="1"/>
  <c r="F77" i="1"/>
  <c r="F71" i="1" s="1"/>
  <c r="C76" i="1"/>
  <c r="C77" i="1" s="1"/>
  <c r="C71" i="1" s="1"/>
  <c r="C70" i="1"/>
  <c r="D56" i="9"/>
  <c r="Y40" i="9" s="1"/>
  <c r="AE40" i="9" s="1"/>
  <c r="D37" i="9"/>
  <c r="C50" i="1" s="1"/>
  <c r="B56" i="1" l="1"/>
  <c r="C44" i="9"/>
  <c r="K18" i="9"/>
  <c r="K43" i="9" s="1"/>
  <c r="G18" i="9"/>
  <c r="G43" i="9" s="1"/>
  <c r="AB44" i="4" s="1"/>
  <c r="D53" i="1"/>
  <c r="E42" i="9"/>
  <c r="D55" i="1" s="1"/>
  <c r="E68" i="1"/>
  <c r="G42" i="9"/>
  <c r="F55" i="1" s="1"/>
  <c r="F53" i="1"/>
  <c r="E18" i="9"/>
  <c r="E43" i="9" s="1"/>
  <c r="I18" i="9"/>
  <c r="I43" i="9" s="1"/>
  <c r="I42" i="9"/>
  <c r="H55" i="1" s="1"/>
  <c r="H53" i="1"/>
  <c r="J53" i="1"/>
  <c r="K42" i="9"/>
  <c r="J55" i="1" s="1"/>
  <c r="C68" i="1"/>
  <c r="I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D25" i="4" l="1"/>
  <c r="BM10" i="4"/>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c r="G41" i="1" l="1"/>
  <c r="E3" i="9"/>
  <c r="E44" i="9" s="1"/>
  <c r="D57" i="1" s="1"/>
  <c r="H41" i="1"/>
  <c r="J3" i="9"/>
  <c r="J55" i="9" s="1"/>
  <c r="J58" i="9" s="1"/>
  <c r="F30" i="9"/>
  <c r="E43" i="1" s="1"/>
  <c r="F87" i="4"/>
  <c r="S64" i="4"/>
  <c r="L34" i="4" s="1"/>
  <c r="L39" i="4" s="1"/>
  <c r="D41" i="1"/>
  <c r="F86" i="4"/>
  <c r="K45" i="9"/>
  <c r="J58" i="1" s="1"/>
  <c r="F14" i="9"/>
  <c r="F34" i="9" s="1"/>
  <c r="E47" i="1" s="1"/>
  <c r="H83" i="4"/>
  <c r="D86" i="4"/>
  <c r="F55" i="9"/>
  <c r="F58" i="9" s="1"/>
  <c r="X38" i="9" s="1"/>
  <c r="AD38" i="9" s="1"/>
  <c r="H55" i="9"/>
  <c r="H59" i="9" s="1"/>
  <c r="Z36" i="9" s="1"/>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X33" i="9" s="1"/>
  <c r="AD33" i="9" s="1"/>
  <c r="U64" i="4"/>
  <c r="G3" i="9"/>
  <c r="G44" i="9" s="1"/>
  <c r="F57" i="1" s="1"/>
  <c r="H14" i="9"/>
  <c r="H34" i="9" s="1"/>
  <c r="G47" i="1" s="1"/>
  <c r="T64" i="4"/>
  <c r="M34" i="4" s="1"/>
  <c r="N34" i="4" s="1"/>
  <c r="E41" i="1"/>
  <c r="C87" i="4"/>
  <c r="H30" i="9"/>
  <c r="G43" i="1" s="1"/>
  <c r="D87" i="4"/>
  <c r="X64" i="4"/>
  <c r="J34" i="4" s="1"/>
  <c r="K34" i="4" s="1"/>
  <c r="P21" i="9"/>
  <c r="R21" i="9"/>
  <c r="T21" i="9"/>
  <c r="I34" i="4" l="1"/>
  <c r="I39" i="4" s="1"/>
  <c r="E30" i="9"/>
  <c r="D43" i="1" s="1"/>
  <c r="E14" i="9"/>
  <c r="E34" i="9" s="1"/>
  <c r="D47" i="1" s="1"/>
  <c r="E45" i="9"/>
  <c r="D58" i="1" s="1"/>
  <c r="E55" i="9"/>
  <c r="E58" i="9" s="1"/>
  <c r="D45" i="1" s="1"/>
  <c r="D44" i="1" s="1"/>
  <c r="J59" i="9"/>
  <c r="Z34" i="9" s="1"/>
  <c r="J45" i="9"/>
  <c r="I58" i="1" s="1"/>
  <c r="J30" i="9"/>
  <c r="I43" i="1" s="1"/>
  <c r="D34" i="4"/>
  <c r="E34" i="4" s="1"/>
  <c r="B31" i="7" s="1"/>
  <c r="G34" i="4"/>
  <c r="H34" i="4" s="1"/>
  <c r="H39" i="4" s="1"/>
  <c r="J14" i="9"/>
  <c r="J34" i="9" s="1"/>
  <c r="I47" i="1" s="1"/>
  <c r="H21" i="9"/>
  <c r="H24" i="9" s="1"/>
  <c r="D45" i="9"/>
  <c r="C58" i="1" s="1"/>
  <c r="H47" i="9"/>
  <c r="G60" i="1" s="1"/>
  <c r="D14" i="9"/>
  <c r="D34" i="9" s="1"/>
  <c r="C47" i="1" s="1"/>
  <c r="H58" i="9"/>
  <c r="H63" i="9" s="1"/>
  <c r="H64" i="9" s="1"/>
  <c r="H65" i="9" s="1"/>
  <c r="I62" i="9" s="1"/>
  <c r="AC35" i="9" s="1"/>
  <c r="G14" i="9"/>
  <c r="G34" i="9" s="1"/>
  <c r="F47" i="1" s="1"/>
  <c r="G30" i="9"/>
  <c r="F43" i="1" s="1"/>
  <c r="F59" i="9"/>
  <c r="Z38" i="9" s="1"/>
  <c r="E45" i="1"/>
  <c r="E44" i="1" s="1"/>
  <c r="D55" i="9"/>
  <c r="D58" i="9" s="1"/>
  <c r="C45" i="1" s="1"/>
  <c r="C44" i="1" s="1"/>
  <c r="G45" i="9"/>
  <c r="F58" i="1" s="1"/>
  <c r="D20" i="9"/>
  <c r="D21" i="9" s="1"/>
  <c r="D24" i="9" s="1"/>
  <c r="G55" i="9"/>
  <c r="G59" i="9" s="1"/>
  <c r="Z37" i="9" s="1"/>
  <c r="C34" i="4"/>
  <c r="C63" i="4" s="1"/>
  <c r="J41" i="1"/>
  <c r="I45" i="9"/>
  <c r="H58" i="1" s="1"/>
  <c r="F34" i="4"/>
  <c r="F29" i="4" s="1"/>
  <c r="Q16" i="9" s="1"/>
  <c r="Q17" i="9" s="1"/>
  <c r="F15" i="9" s="1"/>
  <c r="F35" i="9" s="1"/>
  <c r="E48" i="1" s="1"/>
  <c r="I14" i="9"/>
  <c r="I34" i="9" s="1"/>
  <c r="H47" i="1" s="1"/>
  <c r="K59" i="9"/>
  <c r="Z33" i="9" s="1"/>
  <c r="I55" i="9"/>
  <c r="I58" i="9" s="1"/>
  <c r="H45" i="1" s="1"/>
  <c r="H44" i="1" s="1"/>
  <c r="I30" i="9"/>
  <c r="H43" i="1" s="1"/>
  <c r="J45" i="1"/>
  <c r="J44" i="1" s="1"/>
  <c r="N84" i="7"/>
  <c r="L95" i="7" s="1"/>
  <c r="E22" i="7"/>
  <c r="L11" i="4"/>
  <c r="I24" i="1" s="1"/>
  <c r="L63" i="4"/>
  <c r="N39" i="4"/>
  <c r="M84" i="7"/>
  <c r="J11" i="4"/>
  <c r="J14" i="4" s="1"/>
  <c r="E25" i="1" s="1"/>
  <c r="M39" i="4"/>
  <c r="E35" i="7"/>
  <c r="J37" i="4"/>
  <c r="L84" i="7"/>
  <c r="H95" i="7" s="1"/>
  <c r="J29" i="4"/>
  <c r="J39" i="4"/>
  <c r="L29" i="4"/>
  <c r="U16" i="9" s="1"/>
  <c r="U17" i="9" s="1"/>
  <c r="J15" i="9" s="1"/>
  <c r="J35" i="9" s="1"/>
  <c r="I48" i="1" s="1"/>
  <c r="M29" i="4"/>
  <c r="V16" i="9" s="1"/>
  <c r="M37" i="4"/>
  <c r="F22" i="7"/>
  <c r="M11" i="4"/>
  <c r="M14" i="4" s="1"/>
  <c r="J25" i="1" s="1"/>
  <c r="X34" i="9"/>
  <c r="AD34" i="9" s="1"/>
  <c r="I45" i="1"/>
  <c r="I44" i="1" s="1"/>
  <c r="H48" i="9"/>
  <c r="G61" i="1" s="1"/>
  <c r="I46" i="9"/>
  <c r="I20" i="9"/>
  <c r="I23" i="9"/>
  <c r="I50" i="9" s="1"/>
  <c r="H63" i="1" s="1"/>
  <c r="L72" i="4" l="1"/>
  <c r="I63" i="4"/>
  <c r="I73" i="4"/>
  <c r="L73" i="4"/>
  <c r="I11" i="4"/>
  <c r="K84" i="7"/>
  <c r="I29" i="4"/>
  <c r="S16" i="9" s="1"/>
  <c r="S17" i="9" s="1"/>
  <c r="H15" i="9" s="1"/>
  <c r="H35" i="9" s="1"/>
  <c r="G48" i="1" s="1"/>
  <c r="D35" i="7"/>
  <c r="I72" i="4"/>
  <c r="D47" i="9"/>
  <c r="C60" i="1" s="1"/>
  <c r="E59" i="9"/>
  <c r="Z39" i="9" s="1"/>
  <c r="K55" i="2"/>
  <c r="K61" i="2" s="1"/>
  <c r="X39" i="9"/>
  <c r="AD39" i="9" s="1"/>
  <c r="G29" i="4"/>
  <c r="R16" i="9" s="1"/>
  <c r="R17" i="9" s="1"/>
  <c r="G15" i="9" s="1"/>
  <c r="G35" i="9" s="1"/>
  <c r="F48" i="1" s="1"/>
  <c r="H27" i="7"/>
  <c r="D11" i="4"/>
  <c r="D14" i="4" s="1"/>
  <c r="O25" i="1" s="1"/>
  <c r="G45" i="1"/>
  <c r="G44" i="1" s="1"/>
  <c r="D39" i="4"/>
  <c r="G11" i="4"/>
  <c r="T24" i="1" s="1"/>
  <c r="D37" i="4"/>
  <c r="E37" i="4" s="1"/>
  <c r="E38" i="4" s="1"/>
  <c r="E55" i="4" s="1"/>
  <c r="P66" i="1" s="1"/>
  <c r="H29" i="7"/>
  <c r="B29" i="7"/>
  <c r="H11" i="4"/>
  <c r="H14" i="4" s="1"/>
  <c r="U25" i="1" s="1"/>
  <c r="G39" i="4"/>
  <c r="D29" i="4"/>
  <c r="P16" i="9" s="1"/>
  <c r="P17" i="9" s="1"/>
  <c r="E15" i="9" s="1"/>
  <c r="E35" i="9" s="1"/>
  <c r="D48" i="1" s="1"/>
  <c r="J84" i="7"/>
  <c r="E39" i="4"/>
  <c r="G58" i="9"/>
  <c r="F45" i="1" s="1"/>
  <c r="F44" i="1" s="1"/>
  <c r="G37" i="4"/>
  <c r="G107" i="4" s="1"/>
  <c r="G108" i="4" s="1"/>
  <c r="G109" i="4" s="1"/>
  <c r="G111" i="4" s="1"/>
  <c r="G126" i="4" s="1"/>
  <c r="E11" i="4"/>
  <c r="E14" i="4" s="1"/>
  <c r="P25" i="1" s="1"/>
  <c r="H84" i="7"/>
  <c r="J95" i="7" s="1"/>
  <c r="H22" i="9"/>
  <c r="H49" i="9" s="1"/>
  <c r="G62" i="1" s="1"/>
  <c r="D63" i="9"/>
  <c r="D64" i="9" s="1"/>
  <c r="D65" i="9" s="1"/>
  <c r="E62" i="9" s="1"/>
  <c r="AC39" i="9" s="1"/>
  <c r="F63" i="4"/>
  <c r="X40" i="9"/>
  <c r="AD40" i="9" s="1"/>
  <c r="AF40" i="9" s="1"/>
  <c r="F39" i="4"/>
  <c r="X35" i="9"/>
  <c r="AD35" i="9" s="1"/>
  <c r="AF35" i="9" s="1"/>
  <c r="I84" i="7"/>
  <c r="I95" i="7" s="1"/>
  <c r="X36" i="9"/>
  <c r="AD36" i="9" s="1"/>
  <c r="AF36" i="9" s="1"/>
  <c r="D59" i="9"/>
  <c r="Z40" i="9" s="1"/>
  <c r="H31" i="7"/>
  <c r="C29" i="4"/>
  <c r="O16" i="9" s="1"/>
  <c r="O17" i="9" s="1"/>
  <c r="D15" i="9" s="1"/>
  <c r="D35" i="9" s="1"/>
  <c r="C48" i="1" s="1"/>
  <c r="C39" i="4"/>
  <c r="F73" i="4"/>
  <c r="D22" i="9"/>
  <c r="D49" i="9" s="1"/>
  <c r="C62" i="1" s="1"/>
  <c r="C11" i="4"/>
  <c r="N24" i="1" s="1"/>
  <c r="D48" i="9"/>
  <c r="C61" i="1" s="1"/>
  <c r="B27" i="7"/>
  <c r="C73" i="4"/>
  <c r="E19" i="9"/>
  <c r="E23" i="9" s="1"/>
  <c r="E50" i="9" s="1"/>
  <c r="D63" i="1" s="1"/>
  <c r="C72" i="4"/>
  <c r="F72" i="4"/>
  <c r="I59" i="9"/>
  <c r="Z35" i="9" s="1"/>
  <c r="G84" i="7"/>
  <c r="F11" i="4"/>
  <c r="F67" i="4" s="1"/>
  <c r="G95" i="7"/>
  <c r="K95" i="7"/>
  <c r="K54" i="2"/>
  <c r="K60" i="2" s="1"/>
  <c r="M95" i="7"/>
  <c r="N37" i="4"/>
  <c r="N38" i="4" s="1"/>
  <c r="N55" i="4" s="1"/>
  <c r="K66" i="1" s="1"/>
  <c r="M107" i="4"/>
  <c r="M108" i="4" s="1"/>
  <c r="M109" i="4" s="1"/>
  <c r="M111" i="4" s="1"/>
  <c r="M126" i="4" s="1"/>
  <c r="L71" i="4"/>
  <c r="J107" i="4"/>
  <c r="J108" i="4" s="1"/>
  <c r="J109" i="4" s="1"/>
  <c r="J111" i="4" s="1"/>
  <c r="J126" i="4" s="1"/>
  <c r="N95" i="7"/>
  <c r="J12" i="9"/>
  <c r="J32" i="9" s="1"/>
  <c r="D12" i="9"/>
  <c r="D32" i="9" s="1"/>
  <c r="E24" i="1"/>
  <c r="D22" i="7"/>
  <c r="N11" i="4"/>
  <c r="L96" i="4"/>
  <c r="L58" i="4" s="1"/>
  <c r="I71" i="4"/>
  <c r="L67" i="4"/>
  <c r="J24" i="1"/>
  <c r="J38" i="4"/>
  <c r="J144" i="4" s="1"/>
  <c r="I62" i="4"/>
  <c r="K37" i="4"/>
  <c r="K38" i="4" s="1"/>
  <c r="F35" i="7"/>
  <c r="K11" i="4"/>
  <c r="K39" i="4"/>
  <c r="T16" i="9"/>
  <c r="K29" i="4"/>
  <c r="N29" i="4"/>
  <c r="V17" i="9"/>
  <c r="K15" i="9" s="1"/>
  <c r="K35" i="9" s="1"/>
  <c r="J48" i="1" s="1"/>
  <c r="L62" i="4"/>
  <c r="L64" i="4" s="1"/>
  <c r="M38" i="4"/>
  <c r="I63" i="9"/>
  <c r="I64" i="9" s="1"/>
  <c r="I65" i="9" s="1"/>
  <c r="J62" i="9" s="1"/>
  <c r="AC34" i="9" s="1"/>
  <c r="AF34" i="9" s="1"/>
  <c r="L50" i="2"/>
  <c r="L61" i="2" s="1"/>
  <c r="L65" i="2" s="1"/>
  <c r="H59" i="1"/>
  <c r="D35" i="1" s="1"/>
  <c r="I47" i="9"/>
  <c r="J19" i="9"/>
  <c r="J46" i="9" s="1"/>
  <c r="I21" i="9"/>
  <c r="H51" i="9"/>
  <c r="G64" i="1" s="1"/>
  <c r="H25" i="9"/>
  <c r="H52" i="9" s="1"/>
  <c r="G65" i="1" s="1"/>
  <c r="D25" i="9"/>
  <c r="D52" i="9" s="1"/>
  <c r="C65" i="1" s="1"/>
  <c r="D51" i="9"/>
  <c r="C64" i="1" s="1"/>
  <c r="I96" i="4" l="1"/>
  <c r="I58" i="4" s="1"/>
  <c r="I64" i="4"/>
  <c r="I37" i="4" s="1"/>
  <c r="I38" i="4" s="1"/>
  <c r="I55" i="4" s="1"/>
  <c r="D66" i="1" s="1"/>
  <c r="I77" i="4"/>
  <c r="I103" i="4" s="1"/>
  <c r="I60" i="4" s="1"/>
  <c r="I67" i="4"/>
  <c r="F12" i="9"/>
  <c r="F32" i="9" s="1"/>
  <c r="L77" i="4"/>
  <c r="L103" i="4" s="1"/>
  <c r="L60" i="4" s="1"/>
  <c r="D24" i="1"/>
  <c r="C71" i="4"/>
  <c r="E12" i="9"/>
  <c r="E32" i="9" s="1"/>
  <c r="I12" i="9"/>
  <c r="I32" i="9" s="1"/>
  <c r="H29" i="4"/>
  <c r="AF39" i="9"/>
  <c r="X37" i="9"/>
  <c r="AD37" i="9" s="1"/>
  <c r="O24" i="1"/>
  <c r="F96" i="4"/>
  <c r="F58" i="4" s="1"/>
  <c r="U24" i="1"/>
  <c r="E41" i="4"/>
  <c r="L31" i="7" s="1"/>
  <c r="G14" i="4"/>
  <c r="T25" i="1" s="1"/>
  <c r="C62" i="4"/>
  <c r="C64" i="4" s="1"/>
  <c r="C37" i="4" s="1"/>
  <c r="C38" i="4" s="1"/>
  <c r="C90" i="4" s="1"/>
  <c r="C93" i="4" s="1"/>
  <c r="C94" i="4" s="1"/>
  <c r="G38" i="4"/>
  <c r="G117" i="4" s="1"/>
  <c r="E90" i="4"/>
  <c r="F71" i="4"/>
  <c r="D107" i="4"/>
  <c r="D108" i="4" s="1"/>
  <c r="D109" i="4" s="1"/>
  <c r="D111" i="4" s="1"/>
  <c r="D126" i="4" s="1"/>
  <c r="BF126" i="4" s="1"/>
  <c r="D38" i="4"/>
  <c r="D144" i="4" s="1"/>
  <c r="P17" i="1"/>
  <c r="E28" i="7"/>
  <c r="E63" i="9"/>
  <c r="E64" i="9" s="1"/>
  <c r="E65" i="9" s="1"/>
  <c r="F62" i="9" s="1"/>
  <c r="F63" i="9" s="1"/>
  <c r="F64" i="9" s="1"/>
  <c r="F65" i="9" s="1"/>
  <c r="G62" i="9" s="1"/>
  <c r="H37" i="4"/>
  <c r="H38" i="4" s="1"/>
  <c r="H90" i="4" s="1"/>
  <c r="F62" i="4"/>
  <c r="F64" i="4" s="1"/>
  <c r="F37" i="4" s="1"/>
  <c r="F38" i="4" s="1"/>
  <c r="F90" i="4" s="1"/>
  <c r="F93" i="4" s="1"/>
  <c r="P24" i="1"/>
  <c r="E29" i="4"/>
  <c r="F77" i="4"/>
  <c r="F103" i="4" s="1"/>
  <c r="F60" i="4" s="1"/>
  <c r="E20" i="9"/>
  <c r="F19" i="9" s="1"/>
  <c r="F46" i="9" s="1"/>
  <c r="M49" i="2" s="1"/>
  <c r="N60" i="2" s="1"/>
  <c r="M64" i="2" s="1"/>
  <c r="E46" i="9"/>
  <c r="L49" i="2" s="1"/>
  <c r="L60" i="2" s="1"/>
  <c r="L64" i="2" s="1"/>
  <c r="H12" i="9"/>
  <c r="H32" i="9" s="1"/>
  <c r="C96" i="4"/>
  <c r="C58" i="4" s="1"/>
  <c r="C67" i="4"/>
  <c r="C77" i="4"/>
  <c r="C103" i="4" s="1"/>
  <c r="C60" i="4" s="1"/>
  <c r="S24" i="1"/>
  <c r="K12" i="9"/>
  <c r="K32" i="9" s="1"/>
  <c r="N90" i="4"/>
  <c r="K17" i="1"/>
  <c r="M119" i="4"/>
  <c r="M144" i="4"/>
  <c r="J117" i="4"/>
  <c r="J119" i="4"/>
  <c r="M41" i="4"/>
  <c r="M40" i="4" s="1"/>
  <c r="M43" i="4" s="1"/>
  <c r="M117" i="4"/>
  <c r="L68" i="4"/>
  <c r="L54" i="4" s="1"/>
  <c r="I39" i="1" s="1"/>
  <c r="N41" i="4"/>
  <c r="N22" i="7" s="1"/>
  <c r="K24" i="1"/>
  <c r="N14" i="4"/>
  <c r="K25" i="1" s="1"/>
  <c r="J17" i="1"/>
  <c r="D17" i="1"/>
  <c r="I72" i="1" s="1"/>
  <c r="J55" i="4"/>
  <c r="E66" i="1" s="1"/>
  <c r="J90" i="4"/>
  <c r="E17" i="1"/>
  <c r="J41" i="4"/>
  <c r="I90" i="4"/>
  <c r="I92" i="4" s="1"/>
  <c r="G12" i="9"/>
  <c r="G32" i="9" s="1"/>
  <c r="T17" i="9"/>
  <c r="I15" i="9" s="1"/>
  <c r="I35" i="9" s="1"/>
  <c r="H48" i="1" s="1"/>
  <c r="K14" i="4"/>
  <c r="F25" i="1" s="1"/>
  <c r="K41" i="4"/>
  <c r="F24" i="1"/>
  <c r="K90" i="4"/>
  <c r="F17" i="1"/>
  <c r="K55" i="4"/>
  <c r="F66" i="1" s="1"/>
  <c r="M90" i="4"/>
  <c r="M55" i="4"/>
  <c r="J66" i="1" s="1"/>
  <c r="L37" i="4"/>
  <c r="L38" i="4" s="1"/>
  <c r="L55" i="4" s="1"/>
  <c r="I66" i="1" s="1"/>
  <c r="M50" i="2"/>
  <c r="N61" i="2" s="1"/>
  <c r="M65" i="2" s="1"/>
  <c r="I59" i="1"/>
  <c r="I73" i="1" s="1"/>
  <c r="J63" i="9"/>
  <c r="J64" i="9" s="1"/>
  <c r="J65" i="9" s="1"/>
  <c r="K62" i="9" s="1"/>
  <c r="H60" i="1"/>
  <c r="L55" i="2"/>
  <c r="M61" i="2" s="1"/>
  <c r="O35" i="1"/>
  <c r="P35" i="1" s="1"/>
  <c r="H73" i="1"/>
  <c r="J20" i="9"/>
  <c r="J21" i="9" s="1"/>
  <c r="J23" i="9"/>
  <c r="J50" i="9" s="1"/>
  <c r="I63" i="1" s="1"/>
  <c r="I48" i="9"/>
  <c r="H61" i="1" s="1"/>
  <c r="I22" i="9"/>
  <c r="I49" i="9" s="1"/>
  <c r="H62" i="1" s="1"/>
  <c r="I24" i="9"/>
  <c r="I68" i="4" l="1"/>
  <c r="I54" i="4" s="1"/>
  <c r="D39" i="1" s="1"/>
  <c r="L76" i="4"/>
  <c r="I76" i="4"/>
  <c r="D112" i="4"/>
  <c r="U17" i="1"/>
  <c r="G55" i="4"/>
  <c r="T66" i="1" s="1"/>
  <c r="C55" i="4"/>
  <c r="N66" i="1" s="1"/>
  <c r="C92" i="4"/>
  <c r="N17" i="1"/>
  <c r="O17" i="1"/>
  <c r="AC38" i="9"/>
  <c r="AF38" i="9" s="1"/>
  <c r="D119" i="4"/>
  <c r="E40" i="4"/>
  <c r="E43" i="4" s="1"/>
  <c r="G119" i="4"/>
  <c r="G120" i="4" s="1"/>
  <c r="G127" i="4" s="1"/>
  <c r="G144" i="4"/>
  <c r="F76" i="4"/>
  <c r="P18" i="1"/>
  <c r="C68" i="4"/>
  <c r="C54" i="4" s="1"/>
  <c r="N39" i="1" s="1"/>
  <c r="G41" i="4"/>
  <c r="J85" i="7" s="1"/>
  <c r="D117" i="4"/>
  <c r="D120" i="4" s="1"/>
  <c r="D127" i="4" s="1"/>
  <c r="G90" i="4"/>
  <c r="T17" i="1"/>
  <c r="D41" i="4"/>
  <c r="L29" i="7" s="1"/>
  <c r="D90" i="4"/>
  <c r="D55" i="4"/>
  <c r="O66" i="1" s="1"/>
  <c r="F20" i="9"/>
  <c r="G19" i="9" s="1"/>
  <c r="G46" i="9" s="1"/>
  <c r="F68" i="4"/>
  <c r="F54" i="4" s="1"/>
  <c r="S39" i="1" s="1"/>
  <c r="H55" i="4"/>
  <c r="U66" i="1" s="1"/>
  <c r="H41" i="4"/>
  <c r="E59" i="1"/>
  <c r="E73" i="1" s="1"/>
  <c r="E47" i="9"/>
  <c r="D60" i="1" s="1"/>
  <c r="D59" i="1"/>
  <c r="N35" i="1" s="1"/>
  <c r="F23" i="9"/>
  <c r="F50" i="9" s="1"/>
  <c r="E63" i="1" s="1"/>
  <c r="E21" i="9"/>
  <c r="E24" i="9" s="1"/>
  <c r="E51" i="9" s="1"/>
  <c r="D64" i="1" s="1"/>
  <c r="C76" i="4"/>
  <c r="C97" i="4" s="1"/>
  <c r="C57" i="4" s="1"/>
  <c r="M120" i="4"/>
  <c r="M127" i="4" s="1"/>
  <c r="H54" i="4"/>
  <c r="U39" i="1" s="1"/>
  <c r="E54" i="4"/>
  <c r="P39" i="1" s="1"/>
  <c r="I74" i="1"/>
  <c r="F72" i="1"/>
  <c r="J120" i="4"/>
  <c r="S17" i="1"/>
  <c r="E42" i="7"/>
  <c r="N85" i="7"/>
  <c r="O22" i="7"/>
  <c r="M54" i="4"/>
  <c r="N86" i="7"/>
  <c r="J18" i="1"/>
  <c r="M42" i="4"/>
  <c r="M44" i="4" s="1"/>
  <c r="M145" i="4" s="1"/>
  <c r="J19" i="1"/>
  <c r="F92" i="4"/>
  <c r="F94" i="4" s="1"/>
  <c r="F55" i="4"/>
  <c r="S66" i="1" s="1"/>
  <c r="D72" i="1"/>
  <c r="G72" i="1"/>
  <c r="G74" i="1" s="1"/>
  <c r="I93" i="4"/>
  <c r="I94" i="4" s="1"/>
  <c r="I99" i="4" s="1"/>
  <c r="I101" i="4" s="1"/>
  <c r="N40" i="4"/>
  <c r="N42" i="4" s="1"/>
  <c r="K18" i="1"/>
  <c r="L90" i="4"/>
  <c r="L93" i="4" s="1"/>
  <c r="K40" i="4"/>
  <c r="P35" i="7"/>
  <c r="F18" i="1"/>
  <c r="O35" i="7"/>
  <c r="E18" i="1"/>
  <c r="L85" i="7"/>
  <c r="J40" i="4"/>
  <c r="E55" i="7" s="1"/>
  <c r="J54" i="4"/>
  <c r="I17" i="1"/>
  <c r="C72" i="1" s="1"/>
  <c r="C74" i="1" s="1"/>
  <c r="E36" i="1"/>
  <c r="F36" i="1" s="1"/>
  <c r="N36" i="1"/>
  <c r="O36" i="1"/>
  <c r="P36" i="1" s="1"/>
  <c r="D36" i="1"/>
  <c r="J48" i="9"/>
  <c r="I61" i="1" s="1"/>
  <c r="J24" i="9"/>
  <c r="J22" i="9"/>
  <c r="J49" i="9" s="1"/>
  <c r="I62" i="1" s="1"/>
  <c r="K19" i="9"/>
  <c r="K20" i="9" s="1"/>
  <c r="J47" i="9"/>
  <c r="K63" i="9"/>
  <c r="K64" i="9" s="1"/>
  <c r="K65" i="9" s="1"/>
  <c r="AC33" i="9"/>
  <c r="AF33" i="9" s="1"/>
  <c r="G63" i="9"/>
  <c r="G64" i="9" s="1"/>
  <c r="G65" i="9" s="1"/>
  <c r="AC37" i="9"/>
  <c r="AF37" i="9" s="1"/>
  <c r="I25" i="9"/>
  <c r="I52" i="9" s="1"/>
  <c r="H65" i="1" s="1"/>
  <c r="I51" i="9"/>
  <c r="H64" i="1" s="1"/>
  <c r="F21" i="9" l="1"/>
  <c r="F48" i="9" s="1"/>
  <c r="E61" i="1" s="1"/>
  <c r="F47" i="9"/>
  <c r="M54" i="2" s="1"/>
  <c r="O60" i="2" s="1"/>
  <c r="D40" i="4"/>
  <c r="O19" i="1" s="1"/>
  <c r="T18" i="1"/>
  <c r="P19" i="1"/>
  <c r="E42" i="4"/>
  <c r="E44" i="4" s="1"/>
  <c r="E124" i="4" s="1"/>
  <c r="G54" i="4"/>
  <c r="T39" i="1" s="1"/>
  <c r="D73" i="1"/>
  <c r="D74" i="1" s="1"/>
  <c r="H85" i="7"/>
  <c r="O18" i="1"/>
  <c r="J72" i="1"/>
  <c r="D54" i="4"/>
  <c r="O39" i="1" s="1"/>
  <c r="G40" i="4"/>
  <c r="G42" i="4" s="1"/>
  <c r="C99" i="4"/>
  <c r="C101" i="4" s="1"/>
  <c r="B51" i="7"/>
  <c r="R29" i="7"/>
  <c r="E48" i="9"/>
  <c r="D61" i="1" s="1"/>
  <c r="C104" i="4"/>
  <c r="C59" i="4" s="1"/>
  <c r="C41" i="4" s="1"/>
  <c r="N18" i="1" s="1"/>
  <c r="H40" i="4"/>
  <c r="H43" i="4" s="1"/>
  <c r="U18" i="1"/>
  <c r="R27" i="7"/>
  <c r="L54" i="2"/>
  <c r="M60" i="2" s="1"/>
  <c r="E22" i="9"/>
  <c r="E49" i="9" s="1"/>
  <c r="D62" i="1" s="1"/>
  <c r="E35" i="1"/>
  <c r="F35" i="1" s="1"/>
  <c r="E25" i="9"/>
  <c r="E52" i="9" s="1"/>
  <c r="D65" i="1" s="1"/>
  <c r="F97" i="4"/>
  <c r="F57" i="4" s="1"/>
  <c r="F104" i="4"/>
  <c r="F59" i="4" s="1"/>
  <c r="F99" i="4"/>
  <c r="F101" i="4" s="1"/>
  <c r="E39" i="1"/>
  <c r="K54" i="4"/>
  <c r="F39" i="1" s="1"/>
  <c r="J39" i="1"/>
  <c r="N54" i="4"/>
  <c r="K39" i="1" s="1"/>
  <c r="H72" i="1"/>
  <c r="H74" i="1" s="1"/>
  <c r="D121" i="4"/>
  <c r="J127" i="4"/>
  <c r="BF127" i="4" s="1"/>
  <c r="E72" i="1"/>
  <c r="E74" i="1" s="1"/>
  <c r="N87" i="7"/>
  <c r="M124" i="4"/>
  <c r="M125" i="4"/>
  <c r="P42" i="7"/>
  <c r="J20" i="1"/>
  <c r="M45" i="4"/>
  <c r="J21" i="1" s="1"/>
  <c r="D42" i="7"/>
  <c r="I97" i="4"/>
  <c r="I57" i="4" s="1"/>
  <c r="I104" i="4"/>
  <c r="I59" i="4" s="1"/>
  <c r="N43" i="4"/>
  <c r="N44" i="4" s="1"/>
  <c r="K19" i="1"/>
  <c r="L92" i="4"/>
  <c r="L94" i="4" s="1"/>
  <c r="J43" i="4"/>
  <c r="K43" i="4"/>
  <c r="F55" i="7"/>
  <c r="F19" i="1"/>
  <c r="K42" i="4"/>
  <c r="L86" i="7"/>
  <c r="E19" i="1"/>
  <c r="J42" i="4"/>
  <c r="G23" i="9"/>
  <c r="G50" i="9" s="1"/>
  <c r="F63" i="1" s="1"/>
  <c r="G20" i="9"/>
  <c r="G47" i="9" s="1"/>
  <c r="K23" i="9"/>
  <c r="K50" i="9" s="1"/>
  <c r="J63" i="1" s="1"/>
  <c r="K46" i="9"/>
  <c r="J51" i="9"/>
  <c r="I64" i="1" s="1"/>
  <c r="J25" i="9"/>
  <c r="J52" i="9" s="1"/>
  <c r="I65" i="1" s="1"/>
  <c r="E60" i="1"/>
  <c r="K47" i="9"/>
  <c r="K21" i="9"/>
  <c r="M55" i="2"/>
  <c r="O61" i="2" s="1"/>
  <c r="I60" i="1"/>
  <c r="F59" i="1"/>
  <c r="N49" i="2"/>
  <c r="P60" i="2" s="1"/>
  <c r="N64" i="2" s="1"/>
  <c r="F22" i="9" l="1"/>
  <c r="F49" i="9" s="1"/>
  <c r="E62" i="1" s="1"/>
  <c r="F24" i="9"/>
  <c r="D43" i="4"/>
  <c r="B49" i="7"/>
  <c r="D42" i="4"/>
  <c r="H86" i="7"/>
  <c r="M51" i="7"/>
  <c r="E45" i="4"/>
  <c r="G70" i="7" s="1"/>
  <c r="E125" i="4"/>
  <c r="P20" i="1"/>
  <c r="G43" i="4"/>
  <c r="G44" i="4" s="1"/>
  <c r="G45" i="4" s="1"/>
  <c r="H49" i="7"/>
  <c r="T19" i="1"/>
  <c r="J86" i="7"/>
  <c r="H42" i="4"/>
  <c r="H44" i="4" s="1"/>
  <c r="H47" i="7"/>
  <c r="U19" i="1"/>
  <c r="F41" i="4"/>
  <c r="R31" i="7" s="1"/>
  <c r="O42" i="7"/>
  <c r="N124" i="4"/>
  <c r="N125" i="4"/>
  <c r="N88" i="7"/>
  <c r="J61" i="7"/>
  <c r="I41" i="4"/>
  <c r="N35" i="7" s="1"/>
  <c r="C40" i="4"/>
  <c r="C43" i="4" s="1"/>
  <c r="L27" i="7"/>
  <c r="G85" i="7"/>
  <c r="K20" i="1"/>
  <c r="N45" i="4"/>
  <c r="K21" i="1" s="1"/>
  <c r="L97" i="4"/>
  <c r="L57" i="4" s="1"/>
  <c r="L104" i="4"/>
  <c r="L59" i="4" s="1"/>
  <c r="L99" i="4"/>
  <c r="L101" i="4" s="1"/>
  <c r="K44" i="4"/>
  <c r="J44" i="4"/>
  <c r="J145" i="4" s="1"/>
  <c r="G21" i="9"/>
  <c r="G22" i="9" s="1"/>
  <c r="G49" i="9" s="1"/>
  <c r="F62" i="1" s="1"/>
  <c r="J60" i="1"/>
  <c r="T36" i="1" s="1"/>
  <c r="U36" i="1" s="1"/>
  <c r="N55" i="2"/>
  <c r="Q61" i="2" s="1"/>
  <c r="O65" i="2" s="1"/>
  <c r="K22" i="9"/>
  <c r="K49" i="9" s="1"/>
  <c r="J62" i="1" s="1"/>
  <c r="K48" i="9"/>
  <c r="J61" i="1" s="1"/>
  <c r="K24" i="9"/>
  <c r="F25" i="9"/>
  <c r="F52" i="9" s="1"/>
  <c r="E65" i="1" s="1"/>
  <c r="F51" i="9"/>
  <c r="E64" i="1" s="1"/>
  <c r="J59" i="1"/>
  <c r="I35" i="1" s="1"/>
  <c r="N50" i="2"/>
  <c r="P61" i="2" s="1"/>
  <c r="N65" i="2" s="1"/>
  <c r="N54" i="2"/>
  <c r="Q60" i="2" s="1"/>
  <c r="O64" i="2" s="1"/>
  <c r="F60" i="1"/>
  <c r="S35" i="1"/>
  <c r="F73" i="1"/>
  <c r="F74" i="1" s="1"/>
  <c r="J35" i="1"/>
  <c r="K35" i="1" s="1"/>
  <c r="D44" i="4" l="1"/>
  <c r="D145" i="4" s="1"/>
  <c r="P21" i="1"/>
  <c r="S49" i="7"/>
  <c r="T20" i="1"/>
  <c r="T21" i="1"/>
  <c r="J88" i="7"/>
  <c r="M68" i="7"/>
  <c r="G145" i="4"/>
  <c r="G125" i="4"/>
  <c r="J87" i="7"/>
  <c r="G124" i="4"/>
  <c r="H124" i="4"/>
  <c r="U20" i="1"/>
  <c r="H45" i="4"/>
  <c r="S47" i="7"/>
  <c r="H125" i="4"/>
  <c r="S18" i="1"/>
  <c r="F40" i="4"/>
  <c r="F42" i="4" s="1"/>
  <c r="I85" i="7"/>
  <c r="F20" i="1"/>
  <c r="K124" i="4"/>
  <c r="K125" i="4"/>
  <c r="J125" i="4"/>
  <c r="J124" i="4"/>
  <c r="I40" i="4"/>
  <c r="K86" i="7" s="1"/>
  <c r="D18" i="1"/>
  <c r="K85" i="7"/>
  <c r="J96" i="7" s="1"/>
  <c r="C42" i="4"/>
  <c r="C44" i="4" s="1"/>
  <c r="G86" i="7"/>
  <c r="B47" i="7"/>
  <c r="N19" i="1"/>
  <c r="I61" i="7"/>
  <c r="L41" i="4"/>
  <c r="M85" i="7" s="1"/>
  <c r="Q55" i="7"/>
  <c r="K45" i="4"/>
  <c r="K74" i="7" s="1"/>
  <c r="P55" i="7"/>
  <c r="E20" i="1"/>
  <c r="J45" i="4"/>
  <c r="L87" i="7"/>
  <c r="G24" i="9"/>
  <c r="G25" i="9" s="1"/>
  <c r="G52" i="9" s="1"/>
  <c r="F65" i="1" s="1"/>
  <c r="G48" i="9"/>
  <c r="F61" i="1" s="1"/>
  <c r="I36" i="1"/>
  <c r="J97" i="7"/>
  <c r="H96" i="7"/>
  <c r="J73" i="1"/>
  <c r="J74" i="1" s="1"/>
  <c r="T35" i="1"/>
  <c r="U35" i="1" s="1"/>
  <c r="K25" i="9"/>
  <c r="K52" i="9" s="1"/>
  <c r="J65" i="1" s="1"/>
  <c r="K51" i="9"/>
  <c r="J64" i="1" s="1"/>
  <c r="S36" i="1"/>
  <c r="J36" i="1"/>
  <c r="K36" i="1" s="1"/>
  <c r="D45" i="4" l="1"/>
  <c r="G68" i="7" s="1"/>
  <c r="D125" i="4"/>
  <c r="M49" i="7"/>
  <c r="D124" i="4"/>
  <c r="O20" i="1"/>
  <c r="D146" i="4"/>
  <c r="H87" i="7"/>
  <c r="U21" i="1"/>
  <c r="M66" i="7"/>
  <c r="I96" i="7"/>
  <c r="M97" i="7"/>
  <c r="F43" i="4"/>
  <c r="F44" i="4" s="1"/>
  <c r="H51" i="7"/>
  <c r="S19" i="1"/>
  <c r="I86" i="7"/>
  <c r="K97" i="7" s="1"/>
  <c r="C46" i="4"/>
  <c r="L49" i="7" s="1"/>
  <c r="C124" i="4"/>
  <c r="C125" i="4"/>
  <c r="K96" i="7"/>
  <c r="M96" i="7"/>
  <c r="I42" i="4"/>
  <c r="I43" i="4"/>
  <c r="D19" i="1"/>
  <c r="D55" i="7"/>
  <c r="G87" i="7"/>
  <c r="N20" i="1"/>
  <c r="C45" i="4"/>
  <c r="G66" i="7" s="1"/>
  <c r="M47" i="7"/>
  <c r="P22" i="7"/>
  <c r="L40" i="4"/>
  <c r="L42" i="4" s="1"/>
  <c r="I18" i="1"/>
  <c r="F21" i="1"/>
  <c r="L88" i="7"/>
  <c r="J74" i="7"/>
  <c r="E21" i="1"/>
  <c r="G51" i="9"/>
  <c r="F64" i="1" s="1"/>
  <c r="G96" i="7"/>
  <c r="L96" i="7"/>
  <c r="N96" i="7"/>
  <c r="H97" i="7"/>
  <c r="H88" i="7" l="1"/>
  <c r="O21" i="1"/>
  <c r="F125" i="4"/>
  <c r="S51" i="7"/>
  <c r="F45" i="4"/>
  <c r="M70" i="7" s="1"/>
  <c r="F46" i="4"/>
  <c r="T49" i="7" s="1"/>
  <c r="I87" i="7"/>
  <c r="S20" i="1"/>
  <c r="F124" i="4"/>
  <c r="C47" i="4"/>
  <c r="F68" i="7" s="1"/>
  <c r="I44" i="4"/>
  <c r="I45" i="4" s="1"/>
  <c r="I74" i="7" s="1"/>
  <c r="G88" i="7"/>
  <c r="N21" i="1"/>
  <c r="F42" i="7"/>
  <c r="I19" i="1"/>
  <c r="M86" i="7"/>
  <c r="L43" i="4"/>
  <c r="L44" i="4" s="1"/>
  <c r="L97" i="7"/>
  <c r="N97" i="7"/>
  <c r="S21" i="1" l="1"/>
  <c r="I88" i="7"/>
  <c r="F47" i="4"/>
  <c r="N68" i="7" s="1"/>
  <c r="I46" i="4"/>
  <c r="I47" i="4" s="1"/>
  <c r="J75" i="7" s="1"/>
  <c r="D20" i="1"/>
  <c r="G97" i="7"/>
  <c r="I97" i="7"/>
  <c r="O55" i="7"/>
  <c r="I124" i="4"/>
  <c r="I125" i="4"/>
  <c r="L124" i="4"/>
  <c r="L125" i="4"/>
  <c r="K87" i="7"/>
  <c r="D21" i="1"/>
  <c r="K88" i="7"/>
  <c r="J99" i="7" s="1"/>
  <c r="Q42" i="7"/>
  <c r="L46" i="4"/>
  <c r="I20" i="1"/>
  <c r="L45" i="4"/>
  <c r="M87" i="7"/>
  <c r="C49" i="4"/>
  <c r="C50" i="4" s="1"/>
  <c r="T84" i="4"/>
  <c r="M99" i="7" l="1"/>
  <c r="K98" i="7"/>
  <c r="H98" i="7"/>
  <c r="H99" i="7"/>
  <c r="O56" i="7"/>
  <c r="BF124" i="4"/>
  <c r="BF125" i="4"/>
  <c r="L98" i="7"/>
  <c r="I98" i="7"/>
  <c r="J98" i="7"/>
  <c r="M98" i="7"/>
  <c r="K99" i="7"/>
  <c r="G98" i="7"/>
  <c r="N98" i="7"/>
  <c r="O48" i="7"/>
  <c r="U84" i="4"/>
  <c r="I67" i="7" s="1"/>
  <c r="I21" i="1"/>
  <c r="K61" i="7"/>
  <c r="M88" i="7"/>
  <c r="O41" i="7"/>
  <c r="L47" i="4"/>
  <c r="J60" i="7" s="1"/>
  <c r="C128" i="4" l="1"/>
  <c r="L99" i="7"/>
  <c r="I99" i="7"/>
  <c r="G99" i="7"/>
  <c r="N99"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<sst xmlns="http://schemas.openxmlformats.org/spreadsheetml/2006/main" count="1318" uniqueCount="570">
  <si>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</si>
  <si>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</si>
  <si>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</si>
  <si>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</si>
  <si>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</si>
  <si>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</si>
  <si>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</si>
  <si>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</si>
  <si>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</si>
  <si>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</si>
  <si>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</si>
  <si>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</si>
  <si>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</si>
  <si>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</si>
  <si>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</si>
  <si>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</si>
  <si>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</si>
  <si>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</si>
  <si>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</si>
  <si>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</si>
  <si>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</si>
  <si>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</si>
  <si>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</si>
  <si>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</si>
  <si>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</si>
  <si>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</si>
  <si>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</si>
  <si>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</si>
  <si>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</si>
  <si>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</si>
  <si>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</si>
  <si>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</si>
  <si>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</si>
  <si>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</si>
  <si>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</si>
  <si>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</si>
  <si>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</si>
  <si>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</si>
  <si>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</si>
  <si>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</si>
  <si>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</si>
  <si>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</si>
  <si>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</si>
  <si>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</si>
  <si>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</si>
  <si>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</si>
  <si>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</si>
  <si>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</si>
  <si>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</si>
  <si>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</si>
  <si>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</si>
  <si>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</si>
  <si>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</si>
  <si>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</si>
  <si>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</si>
  <si>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</si>
  <si>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</si>
  <si>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</si>
  <si>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</si>
  <si>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</si>
  <si>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</si>
  <si>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</si>
  <si>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</si>
  <si>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</si>
  <si>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</si>
  <si>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</si>
  <si>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</si>
  <si>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</si>
  <si>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</si>
  <si>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</si>
  <si>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</si>
  <si>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</si>
  <si>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</si>
  <si>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</si>
  <si>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</si>
  <si>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</si>
  <si>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</si>
  <si>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</si>
  <si>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</si>
  <si>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</si>
  <si>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</si>
  <si>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</si>
  <si>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</si>
  <si>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</si>
  <si>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</si>
  <si>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</si>
  <si>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</si>
  <si>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</si>
  <si>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</si>
  <si>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</si>
  <si>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</si>
  <si>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</si>
  <si>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</si>
  <si>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</si>
  <si>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</si>
  <si>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</si>
  <si>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</si>
  <si>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</si>
  <si>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</si>
  <si>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</si>
  <si>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</si>
  <si>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</si>
  <si>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</si>
  <si>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</si>
  <si>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</si>
  <si>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</si>
  <si>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</si>
  <si>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</si>
  <si>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</si>
  <si>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</si>
  <si>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</si>
  <si>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</si>
  <si>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</si>
  <si>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</si>
  <si>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</si>
  <si>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</si>
  <si>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</si>
  <si>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</si>
  <si>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</si>
  <si>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</si>
  <si>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</si>
  <si>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</si>
  <si>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</si>
  <si>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</si>
  <si>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</si>
  <si>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</si>
  <si>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</si>
  <si>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</si>
  <si>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</si>
  <si>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</si>
  <si>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</si>
  <si>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</si>
  <si>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</si>
  <si>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</si>
  <si>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</si>
  <si>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</si>
  <si>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</si>
  <si>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</si>
  <si>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</si>
  <si>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</si>
  <si>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</si>
  <si>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</si>
  <si>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</si>
  <si>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</si>
  <si>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</si>
  <si>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</si>
  <si>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</si>
  <si>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</si>
  <si>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</si>
  <si>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</si>
  <si>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</si>
  <si>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</si>
  <si>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</si>
  <si>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</si>
  <si>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</si>
  <si>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</si>
  <si>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</si>
  <si>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</si>
  <si>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</si>
  <si>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</si>
  <si>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</si>
  <si>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</si>
  <si>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</si>
  <si>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</si>
  <si>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</si>
  <si>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</si>
  <si>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</si>
  <si>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</si>
  <si>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</si>
  <si>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</si>
  <si>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</si>
  <si>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</si>
  <si>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</si>
  <si>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</si>
  <si>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</si>
  <si>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</si>
  <si>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</si>
  <si>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</si>
  <si>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</si>
  <si>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</si>
  <si>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</si>
  <si>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</si>
  <si>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</si>
  <si>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</si>
  <si>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</si>
  <si>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</si>
  <si>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</si>
  <si>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</si>
  <si>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</si>
  <si>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</si>
  <si>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</si>
  <si>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</si>
  <si>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</si>
  <si>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</si>
  <si>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</si>
  <si>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</si>
  <si>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</si>
  <si>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</si>
  <si>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</si>
  <si>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</si>
  <si>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</si>
  <si>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</si>
  <si>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</si>
  <si>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</si>
  <si>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</si>
  <si>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</si>
  <si>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</si>
  <si>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</si>
  <si>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</si>
  <si>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</si>
  <si>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</si>
  <si>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</si>
  <si>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</si>
  <si>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</si>
  <si>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</si>
  <si>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</si>
  <si>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</si>
  <si>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</si>
  <si>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</si>
  <si>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</si>
  <si>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</si>
  <si>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</si>
  <si>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</si>
  <si>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</si>
  <si>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</si>
  <si>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</si>
  <si>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</si>
  <si>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</si>
  <si>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</si>
  <si>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</si>
  <si>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</si>
  <si>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</si>
  <si>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</si>
  <si>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</si>
  <si>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</si>
  <si>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</si>
  <si>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</si>
  <si>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</si>
  <si>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</si>
  <si>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</si>
  <si>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</si>
  <si>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</si>
  <si>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</si>
  <si>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</si>
  <si>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</si>
  <si>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</si>
  <si>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</si>
  <si>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</si>
  <si>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</si>
  <si>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</si>
  <si>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</si>
  <si>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</si>
  <si>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</si>
  <si>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</si>
  <si>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</si>
  <si>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</si>
  <si>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</si>
  <si>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</si>
  <si>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</si>
  <si>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</si>
  <si>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</si>
  <si>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</si>
  <si>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</si>
  <si>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</si>
  <si>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</si>
  <si>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</si>
  <si>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</si>
  <si>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</si>
  <si>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</si>
  <si>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</si>
  <si>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</si>
  <si>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</si>
  <si>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</si>
  <si>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</si>
  <si>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</si>
  <si>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</si>
  <si>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</si>
  <si>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</si>
  <si>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</si>
  <si>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</si>
  <si>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</si>
  <si>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</si>
  <si>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</si>
  <si>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</si>
  <si>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</si>
  <si>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</si>
  <si>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</si>
  <si>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</si>
  <si>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</si>
  <si>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</si>
  <si>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</si>
  <si>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</si>
  <si>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</si>
  <si>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</si>
  <si>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</si>
  <si>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</si>
  <si>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</si>
  <si>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</si>
  <si>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</si>
  <si>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</si>
  <si>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</si>
  <si>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</si>
  <si>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</si>
  <si>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</si>
  <si>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</si>
  <si>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</si>
  <si>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</si>
  <si>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</si>
  <si>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</si>
  <si>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</si>
  <si>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</si>
  <si>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</si>
  <si>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</si>
  <si>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</si>
  <si>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</si>
  <si>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</si>
  <si>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</si>
  <si>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</si>
  <si>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</si>
  <si>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</si>
  <si>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</si>
  <si>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</si>
  <si>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</si>
  <si>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</si>
  <si>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</si>
  <si>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</si>
  <si>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</si>
  <si>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</si>
  <si>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</si>
  <si>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</si>
  <si>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</si>
  <si>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</si>
  <si>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</si>
  <si>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</si>
  <si>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</si>
  <si>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</si>
  <si>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</si>
  <si>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</si>
  <si>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</si>
  <si>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</si>
  <si>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</si>
  <si>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</si>
  <si>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</si>
  <si>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</si>
  <si>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</si>
  <si>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</si>
  <si>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</si>
  <si>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</si>
  <si>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</si>
  <si>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</si>
  <si>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</si>
  <si>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</si>
  <si>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</si>
  <si>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</si>
  <si>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</si>
  <si>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</si>
  <si>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</si>
  <si>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</si>
  <si>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</si>
  <si>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</si>
  <si>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</si>
  <si>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</si>
  <si>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</si>
  <si>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</si>
  <si>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</si>
  <si>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</si>
  <si>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</si>
  <si>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</si>
  <si>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</si>
  <si>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</si>
  <si>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</si>
  <si>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</si>
  <si>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</si>
  <si>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</si>
  <si>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</si>
  <si>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</si>
  <si>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</si>
  <si>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</si>
  <si>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</si>
  <si>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</si>
  <si>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</si>
  <si>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</si>
  <si>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</si>
  <si>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</si>
  <si>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</si>
  <si>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</si>
  <si>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</si>
  <si>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</si>
  <si>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</si>
  <si>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</si>
  <si>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</si>
  <si>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</si>
  <si>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</si>
  <si>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</si>
  <si>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</si>
  <si>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</si>
  <si>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</si>
  <si>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</si>
  <si>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</si>
  <si>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</si>
  <si>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</si>
  <si>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</si>
  <si>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</si>
  <si>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</si>
  <si>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</si>
  <si>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</si>
  <si>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</si>
  <si>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</si>
  <si>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</si>
  <si>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</si>
  <si>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</si>
  <si>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</si>
  <si>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</si>
  <si>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</si>
  <si>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</si>
  <si>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</si>
  <si>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</si>
  <si>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</si>
  <si>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</si>
  <si>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</si>
  <si>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</si>
  <si>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</si>
  <si>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</si>
  <si>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</si>
  <si>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</si>
  <si>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</si>
  <si>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</si>
  <si>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</si>
  <si>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</si>
  <si>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</si>
  <si>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</si>
  <si>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</si>
  <si>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</si>
  <si>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</si>
  <si>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</si>
  <si>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</si>
  <si>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</si>
  <si>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</si>
  <si>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</si>
  <si>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</si>
  <si>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</si>
  <si>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</si>
  <si>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</si>
  <si>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</si>
  <si>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</si>
  <si>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</si>
  <si>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</si>
  <si>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</si>
  <si>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</si>
  <si>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</si>
  <si>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</si>
  <si>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</si>
  <si>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</si>
  <si>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</si>
  <si>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</si>
  <si>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</si>
  <si>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</si>
  <si>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</si>
  <si>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</si>
  <si>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</si>
  <si>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</si>
  <si>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</si>
  <si>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</si>
  <si>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</si>
  <si>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</si>
  <si>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</si>
  <si>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</si>
  <si>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</si>
  <si>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</si>
  <si>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</si>
  <si>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</si>
  <si>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</si>
  <si>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</si>
  <si>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</si>
  <si>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</si>
  <si>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</si>
  <si>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</si>
  <si>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</si>
  <si>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</si>
  <si>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</si>
  <si>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</si>
  <si>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</si>
  <si>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</si>
  <si>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</si>
  <si>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</si>
  <si>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</si>
  <si>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</si>
  <si>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</si>
  <si>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</si>
  <si>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</si>
  <si>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</si>
  <si>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</si>
  <si>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</si>
  <si>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</si>
  <si>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</si>
  <si>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</si>
  <si>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</si>
  <si>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</si>
  <si>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</si>
  <si>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</si>
  <si>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</si>
  <si>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</si>
  <si>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</si>
  <si>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</si>
  <si>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</si>
  <si>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</si>
  <si>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</si>
  <si>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</si>
  <si>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</si>
  <si>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</si>
  <si>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</si>
  <si>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</si>
  <si>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</si>
  <si>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</si>
  <si>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</si>
  <si>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</si>
  <si>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</si>
  <si>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</si>
  <si>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</si>
  <si>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</si>
  <si>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</si>
  <si>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</si>
  <si>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</si>
  <si>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</si>
  <si>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</si>
  <si>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</si>
  <si>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</si>
  <si>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</si>
  <si>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</si>
  <si>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</si>
  <si>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</si>
  <si>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</si>
  <si>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</si>
  <si>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</si>
  <si>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</si>
  <si>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</si>
  <si>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</si>
  <si>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</si>
  <si>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</si>
  <si>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</si>
  <si>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Minor</t>
  </si>
  <si>
    <t>Major</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</si>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</sst>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3"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49">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cellStyles>
  <dxfs count="4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46</c:v>
                </c:pt>
                <c:pt idx="1">
                  <c:v>46</c:v>
                </c:pt>
                <c:pt idx="2">
                  <c:v>9</c:v>
                </c:pt>
                <c:pt idx="3">
                  <c:v>0</c:v>
                </c:pt>
                <c:pt idx="4">
                  <c:v>46</c:v>
                </c:pt>
                <c:pt idx="5">
                  <c:v>46</c:v>
                </c:pt>
                <c:pt idx="6">
                  <c:v>10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18.3</c:v>
                </c:pt>
                <c:pt idx="1">
                  <c:v>0</c:v>
                </c:pt>
                <c:pt idx="2">
                  <c:v>33.1</c:v>
                </c:pt>
                <c:pt idx="3">
                  <c:v>5.0999999999999996</c:v>
                </c:pt>
                <c:pt idx="4">
                  <c:v>18.3</c:v>
                </c:pt>
                <c:pt idx="5">
                  <c:v>0</c:v>
                </c:pt>
                <c:pt idx="6">
                  <c:v>32.1</c:v>
                </c:pt>
                <c:pt idx="7">
                  <c:v>6.1</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3.2</c:v>
                </c:pt>
                <c:pt idx="1">
                  <c:v>0</c:v>
                </c:pt>
                <c:pt idx="2">
                  <c:v>3.9</c:v>
                </c:pt>
                <c:pt idx="3">
                  <c:v>3.9</c:v>
                </c:pt>
                <c:pt idx="4">
                  <c:v>3.2</c:v>
                </c:pt>
                <c:pt idx="5">
                  <c:v>0</c:v>
                </c:pt>
                <c:pt idx="6">
                  <c:v>3.9</c:v>
                </c:pt>
                <c:pt idx="7">
                  <c:v>3.9</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2.5</c:v>
                </c:pt>
                <c:pt idx="1">
                  <c:v>24</c:v>
                </c:pt>
                <c:pt idx="2">
                  <c:v>23.999999999999993</c:v>
                </c:pt>
                <c:pt idx="3">
                  <c:v>60.999999999999993</c:v>
                </c:pt>
                <c:pt idx="4">
                  <c:v>2.5</c:v>
                </c:pt>
                <c:pt idx="5">
                  <c:v>24</c:v>
                </c:pt>
                <c:pt idx="6">
                  <c:v>23.999999999999993</c:v>
                </c:pt>
                <c:pt idx="7">
                  <c:v>59.999999999999993</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Phasing!$AC$33:$AC$40</c:f>
              <c:numCache>
                <c:formatCode>General</c:formatCode>
                <c:ptCount val="8"/>
                <c:pt idx="0">
                  <c:v>46</c:v>
                </c:pt>
                <c:pt idx="1">
                  <c:v>46</c:v>
                </c:pt>
                <c:pt idx="2">
                  <c:v>9</c:v>
                </c:pt>
                <c:pt idx="3">
                  <c:v>0</c:v>
                </c:pt>
                <c:pt idx="4">
                  <c:v>46</c:v>
                </c:pt>
                <c:pt idx="5">
                  <c:v>46</c:v>
                </c:pt>
                <c:pt idx="6">
                  <c:v>10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Phasing!$AD$33:$AD$40</c:f>
              <c:numCache>
                <c:formatCode>General</c:formatCode>
                <c:ptCount val="8"/>
                <c:pt idx="0">
                  <c:v>18.3</c:v>
                </c:pt>
                <c:pt idx="1">
                  <c:v>0</c:v>
                </c:pt>
                <c:pt idx="2">
                  <c:v>33.1</c:v>
                </c:pt>
                <c:pt idx="3">
                  <c:v>5.0999999999999996</c:v>
                </c:pt>
                <c:pt idx="4">
                  <c:v>18.3</c:v>
                </c:pt>
                <c:pt idx="5">
                  <c:v>0</c:v>
                </c:pt>
                <c:pt idx="6">
                  <c:v>32.1</c:v>
                </c:pt>
                <c:pt idx="7">
                  <c:v>6.1</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Phasing!$AE$33:$AE$40</c:f>
              <c:numCache>
                <c:formatCode>General</c:formatCode>
                <c:ptCount val="8"/>
                <c:pt idx="0">
                  <c:v>3.2</c:v>
                </c:pt>
                <c:pt idx="1">
                  <c:v>0</c:v>
                </c:pt>
                <c:pt idx="2">
                  <c:v>3.9</c:v>
                </c:pt>
                <c:pt idx="3">
                  <c:v>3.9</c:v>
                </c:pt>
                <c:pt idx="4">
                  <c:v>3.2</c:v>
                </c:pt>
                <c:pt idx="5">
                  <c:v>0</c:v>
                </c:pt>
                <c:pt idx="6">
                  <c:v>3.9</c:v>
                </c:pt>
                <c:pt idx="7">
                  <c:v>3.9</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numRef>
              <c:f>Phasing!$AB$33:$AB$40</c:f>
              <c:numCache>
                <c:formatCode>General</c:formatCode>
                <c:ptCount val="8"/>
                <c:pt idx="0">
                  <c:v>8</c:v>
                </c:pt>
                <c:pt idx="1">
                  <c:v>7</c:v>
                </c:pt>
                <c:pt idx="2">
                  <c:v>6</c:v>
                </c:pt>
                <c:pt idx="3">
                  <c:v>5</c:v>
                </c:pt>
                <c:pt idx="4">
                  <c:v>4</c:v>
                </c:pt>
                <c:pt idx="5">
                  <c:v>3</c:v>
                </c:pt>
                <c:pt idx="6">
                  <c:v>2</c:v>
                </c:pt>
                <c:pt idx="7">
                  <c:v>1</c:v>
                </c:pt>
              </c:numCache>
            </c:numRef>
          </c:cat>
          <c:val>
            <c:numRef>
              <c:f>Phasing!$AF$33:$AF$40</c:f>
              <c:numCache>
                <c:formatCode>0.0</c:formatCode>
                <c:ptCount val="8"/>
                <c:pt idx="0">
                  <c:v>2.5</c:v>
                </c:pt>
                <c:pt idx="1">
                  <c:v>24</c:v>
                </c:pt>
                <c:pt idx="2">
                  <c:v>23.999999999999993</c:v>
                </c:pt>
                <c:pt idx="3">
                  <c:v>60.999999999999993</c:v>
                </c:pt>
                <c:pt idx="4">
                  <c:v>2.5</c:v>
                </c:pt>
                <c:pt idx="5">
                  <c:v>24</c:v>
                </c:pt>
                <c:pt idx="6">
                  <c:v>23.999999999999993</c:v>
                </c:pt>
                <c:pt idx="7">
                  <c:v>59.999999999999993</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52575" y="885825"/>
          <a:ext cx="3473450"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4998700" y="885825"/>
          <a:ext cx="2822575"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33525" y="4295775"/>
          <a:ext cx="3473450"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864600" y="847725"/>
          <a:ext cx="3467100"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845550" y="4295775"/>
          <a:ext cx="3476625"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09725" y="8067675"/>
          <a:ext cx="3473450"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531350" y="8086725"/>
          <a:ext cx="3476625"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273675" y="11715750"/>
          <a:ext cx="3476625"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99</xdr:row>
      <xdr:rowOff>9525</xdr:rowOff>
    </xdr:from>
    <xdr:to>
      <xdr:col>15</xdr:col>
      <xdr:colOff>123825</xdr:colOff>
      <xdr:row>132</xdr:row>
      <xdr:rowOff>0</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Minor &amp; Major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'Input sheet'!I21</f>
        <v>75</v>
      </c>
      <c r="E4" s="59">
        <f>'Input sheet'!J21</f>
        <v>650</v>
      </c>
      <c r="F4" s="59">
        <f>'Input sheet'!K21</f>
        <v>60</v>
      </c>
      <c r="G4" s="59">
        <v>0</v>
      </c>
      <c r="H4" s="59">
        <v>0</v>
      </c>
      <c r="I4" s="59">
        <f>'Input sheet'!K7</f>
        <v>100</v>
      </c>
      <c r="J4" s="59">
        <f>'Input sheet'!J7</f>
        <v>850</v>
      </c>
      <c r="K4" s="59">
        <f>'Input sheet'!I7</f>
        <v>100</v>
      </c>
      <c r="L4" s="59">
        <v>0</v>
      </c>
      <c r="M4" s="59">
        <v>0</v>
      </c>
      <c r="N4" s="59">
        <f>'Input sheet'!G12</f>
        <v>200</v>
      </c>
      <c r="O4" s="59">
        <f>'Input sheet'!G14</f>
        <v>1950</v>
      </c>
      <c r="P4" s="59">
        <f>'Input sheet'!G16</f>
        <v>100</v>
      </c>
      <c r="Q4" s="59">
        <v>0</v>
      </c>
      <c r="R4" s="59">
        <v>0</v>
      </c>
      <c r="S4" s="59">
        <f>'Input sheet'!M16</f>
        <v>250</v>
      </c>
      <c r="T4" s="59">
        <f>'Input sheet'!M14</f>
        <v>2200</v>
      </c>
      <c r="U4" s="59">
        <f>'Input sheet'!M12</f>
        <v>120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'Input sheet'!I22</f>
        <v>1</v>
      </c>
      <c r="E5">
        <f>'Input sheet'!J22</f>
        <v>2</v>
      </c>
      <c r="F5">
        <f>'Input sheet'!K22</f>
        <v>1</v>
      </c>
      <c r="G5">
        <v>0</v>
      </c>
      <c r="H5">
        <v>0</v>
      </c>
      <c r="I5">
        <f>'Input sheet'!K6</f>
        <v>1</v>
      </c>
      <c r="J5">
        <f>'Input sheet'!J6</f>
        <v>2</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156" customFormat="1" x14ac:dyDescent="0.25">
      <c r="A17" s="156" t="s">
        <v>148</v>
      </c>
      <c r="B17" s="156">
        <v>1</v>
      </c>
      <c r="D17" s="156">
        <f>'Phase calculation'!I38</f>
        <v>20</v>
      </c>
      <c r="E17" s="156">
        <f>'Phase calculation'!J38</f>
        <v>20</v>
      </c>
      <c r="F17" s="156">
        <f>'Phase calculation'!K38</f>
        <v>20</v>
      </c>
      <c r="I17" s="156">
        <f>'Phase calculation'!L38</f>
        <v>20</v>
      </c>
      <c r="J17" s="156">
        <f>'Phase calculation'!M38</f>
        <v>20</v>
      </c>
      <c r="K17" s="156">
        <f>'Phase calculation'!N38</f>
        <v>20</v>
      </c>
      <c r="N17" s="156">
        <f>'Phase calculation'!C38</f>
        <v>5</v>
      </c>
      <c r="O17" s="156">
        <f>'Phase calculation'!D38</f>
        <v>32</v>
      </c>
      <c r="P17" s="156">
        <f>'Phase calculation'!E38</f>
        <v>32</v>
      </c>
      <c r="S17" s="156">
        <f>'Phase calculation'!F38</f>
        <v>6</v>
      </c>
      <c r="T17" s="156">
        <f>'Phase calculation'!G38</f>
        <v>33</v>
      </c>
      <c r="U17" s="156">
        <f>'Phase calculation'!H38</f>
        <v>33</v>
      </c>
    </row>
    <row r="18" spans="1:21" s="1" customFormat="1" x14ac:dyDescent="0.25">
      <c r="A18" s="1" t="s">
        <v>149</v>
      </c>
      <c r="B18" s="1">
        <v>1</v>
      </c>
      <c r="D18" s="1">
        <f>'Phase calculation'!I41</f>
        <v>119</v>
      </c>
      <c r="E18" s="1">
        <f>'Phase calculation'!J41</f>
        <v>874</v>
      </c>
      <c r="F18" s="1">
        <f>'Phase calculation'!K41</f>
        <v>437</v>
      </c>
      <c r="I18" s="1">
        <f>'Phase calculation'!L41</f>
        <v>123</v>
      </c>
      <c r="J18" s="1">
        <f>'Phase calculation'!M41</f>
        <v>874</v>
      </c>
      <c r="K18" s="1">
        <f>'Phase calculation'!N41</f>
        <v>437</v>
      </c>
      <c r="N18" s="1">
        <f>'Phase calculation'!C41</f>
        <v>699</v>
      </c>
      <c r="O18" s="1">
        <f>'Phase calculation'!D41</f>
        <v>2098</v>
      </c>
      <c r="P18" s="1">
        <f>'Phase calculation'!E41</f>
        <v>699</v>
      </c>
      <c r="S18" s="1">
        <f>'Phase calculation'!F41</f>
        <v>787</v>
      </c>
      <c r="T18" s="1">
        <f>'Phase calculation'!G41</f>
        <v>2164</v>
      </c>
      <c r="U18" s="1">
        <f>'Phase calculation'!H41</f>
        <v>721</v>
      </c>
    </row>
    <row r="19" spans="1:21" s="247" customFormat="1" x14ac:dyDescent="0.25">
      <c r="A19" s="247" t="s">
        <v>135</v>
      </c>
      <c r="B19" s="247">
        <v>1</v>
      </c>
      <c r="D19" s="247">
        <f>'Phase calculation'!I40</f>
        <v>0.63</v>
      </c>
      <c r="E19" s="247">
        <f>'Phase calculation'!J40</f>
        <v>0.74</v>
      </c>
      <c r="F19" s="247">
        <f>'Phase calculation'!K40</f>
        <v>0.12356979405034325</v>
      </c>
      <c r="I19" s="247">
        <f>'Phase calculation'!L40</f>
        <v>0.81</v>
      </c>
      <c r="J19" s="247">
        <f>'Phase calculation'!M40</f>
        <v>0.97</v>
      </c>
      <c r="K19" s="247">
        <f>'Phase calculation'!N40</f>
        <v>0.20594965675057209</v>
      </c>
      <c r="N19" s="247">
        <f>'Phase calculation'!C40</f>
        <v>0.28999999999999998</v>
      </c>
      <c r="O19" s="247">
        <f>'Phase calculation'!D40</f>
        <v>0.93</v>
      </c>
      <c r="P19" s="247">
        <f>'Phase calculation'!E40</f>
        <v>0.12875536480686695</v>
      </c>
      <c r="S19" s="247">
        <f>'Phase calculation'!F40</f>
        <v>0.32</v>
      </c>
      <c r="T19" s="247">
        <f>'Phase calculation'!G40</f>
        <v>1.02</v>
      </c>
      <c r="U19" s="247">
        <f>'Phase calculation'!H40</f>
        <v>0.14979195561719832</v>
      </c>
    </row>
    <row r="20" spans="1:21" s="248" customFormat="1" x14ac:dyDescent="0.25">
      <c r="A20" s="248" t="s">
        <v>150</v>
      </c>
      <c r="B20" s="248">
        <v>1</v>
      </c>
      <c r="D20" s="248">
        <f>'Phase calculation'!I44</f>
        <v>44.45</v>
      </c>
      <c r="E20" s="248">
        <f>'Phase calculation'!J44</f>
        <v>28.23</v>
      </c>
      <c r="F20" s="248">
        <f>'Phase calculation'!K44</f>
        <v>19.09</v>
      </c>
      <c r="I20" s="248">
        <f>'Phase calculation'!L44</f>
        <v>65.11</v>
      </c>
      <c r="J20" s="248">
        <f>'Phase calculation'!M44</f>
        <v>48.68</v>
      </c>
      <c r="K20" s="248">
        <f>'Phase calculation'!N44</f>
        <v>20.04</v>
      </c>
      <c r="N20" s="248">
        <f>'Phase calculation'!C44</f>
        <v>31.87</v>
      </c>
      <c r="O20" s="248">
        <f>'Phase calculation'!D44</f>
        <v>26.830000000000002</v>
      </c>
      <c r="P20" s="248">
        <f>'Phase calculation'!E44</f>
        <v>11.340000000000002</v>
      </c>
      <c r="S20" s="248">
        <f>'Phase calculation'!F44</f>
        <v>31.15</v>
      </c>
      <c r="T20" s="248">
        <f>'Phase calculation'!G44</f>
        <v>43.05</v>
      </c>
      <c r="U20" s="248">
        <f>'Phase calculation'!H44</f>
        <v>10.959999999999999</v>
      </c>
    </row>
    <row r="21" spans="1:21" s="1" customFormat="1" x14ac:dyDescent="0.25">
      <c r="A21" s="1" t="s">
        <v>139</v>
      </c>
      <c r="B21" s="1">
        <v>1</v>
      </c>
      <c r="D21" s="73" t="str">
        <f>'Phase calculation'!I45</f>
        <v>D</v>
      </c>
      <c r="E21" s="243" t="str">
        <f>'Phase calculation'!J45</f>
        <v>C</v>
      </c>
      <c r="F21" s="243" t="str">
        <f>'Phase calculation'!K45</f>
        <v>B</v>
      </c>
      <c r="G21" s="73"/>
      <c r="H21" s="73"/>
      <c r="I21" s="73" t="str">
        <f>'Phase calculation'!L45</f>
        <v>E</v>
      </c>
      <c r="J21" s="243" t="str">
        <f>'Phase calculation'!M45</f>
        <v>D</v>
      </c>
      <c r="K21" s="243" t="str">
        <f>'Phase calculation'!N45</f>
        <v>B</v>
      </c>
      <c r="L21" s="73"/>
      <c r="M21" s="73"/>
      <c r="N21" s="73" t="str">
        <f>'Phase calculation'!C45</f>
        <v>C</v>
      </c>
      <c r="O21" s="243" t="str">
        <f>'Phase calculation'!D45</f>
        <v>C</v>
      </c>
      <c r="P21" s="243" t="str">
        <f>'Phase calculation'!E45</f>
        <v>B</v>
      </c>
      <c r="Q21" s="73"/>
      <c r="R21" s="73"/>
      <c r="S21" s="73" t="str">
        <f>'Phase calculation'!F45</f>
        <v>C</v>
      </c>
      <c r="T21" s="243" t="str">
        <f>'Phase calculation'!G45</f>
        <v>D</v>
      </c>
      <c r="U21" s="243" t="str">
        <f>'Phase calculation'!H45</f>
        <v>B</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473</v>
      </c>
      <c r="B24" s="1">
        <v>1</v>
      </c>
      <c r="D24" s="1">
        <f>'Phase calculation'!I11</f>
        <v>0</v>
      </c>
      <c r="E24" s="1">
        <f>'Phase calculation'!J11</f>
        <v>3060</v>
      </c>
      <c r="F24" s="1">
        <f>'Phase calculation'!K11</f>
        <v>1530</v>
      </c>
      <c r="I24" s="1">
        <f>'Phase calculation'!L11</f>
        <v>0</v>
      </c>
      <c r="J24" s="1">
        <f>'Phase calculation'!M11</f>
        <v>3060</v>
      </c>
      <c r="K24" s="1">
        <f>'Phase calculation'!N11</f>
        <v>1530</v>
      </c>
      <c r="N24" s="1">
        <f>'Phase calculation'!C11</f>
        <v>3060</v>
      </c>
      <c r="O24" s="1">
        <f>'Phase calculation'!D11</f>
        <v>4590</v>
      </c>
      <c r="P24" s="1">
        <f>'Phase calculation'!E11</f>
        <v>1530</v>
      </c>
      <c r="S24" s="1">
        <f>'Phase calculation'!F11</f>
        <v>3060</v>
      </c>
      <c r="T24" s="1">
        <f>'Phase calculation'!G11</f>
        <v>4590</v>
      </c>
      <c r="U24" s="1">
        <f>'Phase calculation'!H11</f>
        <v>1530</v>
      </c>
    </row>
    <row r="25" spans="1:21" s="1" customFormat="1" x14ac:dyDescent="0.25">
      <c r="A25" s="1" t="s">
        <v>50</v>
      </c>
      <c r="B25" s="1">
        <v>1</v>
      </c>
      <c r="D25" s="1">
        <f>'Phase calculation'!I14</f>
        <v>555</v>
      </c>
      <c r="E25" s="1">
        <f>'Phase calculation'!J14</f>
        <v>3060</v>
      </c>
      <c r="F25" s="1">
        <f>'Phase calculation'!K14</f>
        <v>1530</v>
      </c>
      <c r="I25" s="1">
        <f>'Phase calculation'!L14</f>
        <v>695</v>
      </c>
      <c r="J25" s="1">
        <f>'Phase calculation'!M14</f>
        <v>3060</v>
      </c>
      <c r="K25" s="1">
        <f>'Phase calculation'!N14</f>
        <v>1530</v>
      </c>
      <c r="N25" s="1">
        <f>'Phase calculation'!C14</f>
        <v>0</v>
      </c>
      <c r="O25" s="1">
        <f>'Phase calculation'!D14</f>
        <v>4590</v>
      </c>
      <c r="P25" s="1">
        <f>'Phase calculation'!E14</f>
        <v>1530</v>
      </c>
      <c r="S25" s="1">
        <f>'Phase calculation'!F14</f>
        <v>0</v>
      </c>
      <c r="T25" s="1">
        <f>'Phase calculation'!G14</f>
        <v>4590</v>
      </c>
      <c r="U25" s="1">
        <f>'Phase calculation'!H14</f>
        <v>1530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IF('Input sheet'!M22="Yes",10,0)</f>
        <v>0</v>
      </c>
      <c r="J29" s="62">
        <f>IF('Input sheet'!L5="Yes",10,0)</f>
        <v>0</v>
      </c>
      <c r="O29" s="62">
        <f>IF('Input sheet'!D16="Yes",10,0)</f>
        <v>0</v>
      </c>
      <c r="T29" s="62">
        <f>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470</v>
      </c>
      <c r="B35" s="67">
        <v>1</v>
      </c>
      <c r="C35" s="67"/>
      <c r="D35" s="67">
        <f>IF(C70=0,0,INDEX($C$59:$J$59,C70))</f>
        <v>0</v>
      </c>
      <c r="E35" s="67">
        <f>IF(D70=0,0,INDEX($C$59:$J$59,D70))</f>
        <v>0</v>
      </c>
      <c r="F35" s="67">
        <f>E35</f>
        <v>0</v>
      </c>
      <c r="G35" s="67"/>
      <c r="H35" s="67"/>
      <c r="I35" s="67">
        <f>IF(E70=0,0,INDEX($C$59:$J$59,E70))</f>
        <v>0</v>
      </c>
      <c r="J35" s="67">
        <f>IF(F70=0,0,INDEX($C$59:$J$59,F70))</f>
        <v>0</v>
      </c>
      <c r="K35" s="67">
        <f>J35</f>
        <v>0</v>
      </c>
      <c r="L35" s="67"/>
      <c r="M35" s="67"/>
      <c r="N35" s="67">
        <f>IF(G70=0,0,INDEX($C$59:$J$59,G70))</f>
        <v>0</v>
      </c>
      <c r="O35" s="67">
        <f>IF(H70=0,0,INDEX($C$59:$J$59,H70))</f>
        <v>0</v>
      </c>
      <c r="P35" s="67">
        <f>O35</f>
        <v>0</v>
      </c>
      <c r="Q35" s="67"/>
      <c r="R35" s="67"/>
      <c r="S35" s="67">
        <f>IF(I70=0,0,INDEX($C$59:$J$59,I70))</f>
        <v>0</v>
      </c>
      <c r="T35" s="67">
        <f>IF(J70=0,0,INDEX($C$59:$J$59,J70))</f>
        <v>0</v>
      </c>
      <c r="U35" s="67">
        <f>T35</f>
        <v>0</v>
      </c>
      <c r="V35" s="67"/>
    </row>
    <row r="36" spans="1:31" x14ac:dyDescent="0.25">
      <c r="A36" s="59" t="s">
        <v>471</v>
      </c>
      <c r="B36" s="59">
        <v>1</v>
      </c>
      <c r="C36" s="59"/>
      <c r="D36" s="59">
        <f>IF(C70=0,0,INDEX($C$60:$J$60,C70))</f>
        <v>10</v>
      </c>
      <c r="E36" s="59">
        <f>IF(D70=0,0,INDEX($C$60:$J$60,D70))</f>
        <v>10</v>
      </c>
      <c r="F36" s="59">
        <f>E36</f>
        <v>10</v>
      </c>
      <c r="G36" s="59"/>
      <c r="H36" s="59"/>
      <c r="I36" s="59">
        <f>IF(E70=0,0,INDEX($C$60:$J$60,E70))</f>
        <v>10</v>
      </c>
      <c r="J36" s="59">
        <f>IF(F70=0,0,INDEX($C$60:$J$60,F70))</f>
        <v>10</v>
      </c>
      <c r="K36" s="59">
        <f>J36</f>
        <v>10</v>
      </c>
      <c r="L36" s="59"/>
      <c r="M36" s="59"/>
      <c r="N36" s="59">
        <f>IF(G70=0,0,INDEX($C$60:$J$60,G70))</f>
        <v>10</v>
      </c>
      <c r="O36" s="59">
        <f>IF(H70=0,0,INDEX($C$60:$J$60,H70))</f>
        <v>10</v>
      </c>
      <c r="P36" s="59">
        <f>O36</f>
        <v>10</v>
      </c>
      <c r="Q36" s="59"/>
      <c r="R36" s="59"/>
      <c r="S36" s="59">
        <f>IF(I70=0,0,INDEX($C$60:$J$60,I70))</f>
        <v>10</v>
      </c>
      <c r="T36" s="59">
        <f>IF(J70=0,0,INDEX($C$60:$J$60,J70))</f>
        <v>10</v>
      </c>
      <c r="U36" s="59">
        <f>T36</f>
        <v>10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5" t="str">
        <f>'Input sheet'!I26</f>
        <v>Minor</v>
      </c>
      <c r="J38" s="155" t="str">
        <f>'Input sheet'!I2</f>
        <v>Minor</v>
      </c>
      <c r="O38" s="155" t="str">
        <f>'Input sheet'!A13</f>
        <v>Major</v>
      </c>
      <c r="T38" s="155" t="str">
        <f>'Input sheet'!R13</f>
        <v>Major</v>
      </c>
    </row>
    <row r="39" spans="1:31" s="156" customFormat="1" x14ac:dyDescent="0.25">
      <c r="A39" s="156" t="s">
        <v>367</v>
      </c>
      <c r="D39" s="156">
        <f>'Phase calculation'!I54</f>
        <v>555</v>
      </c>
      <c r="E39" s="156">
        <f>'Phase calculation'!J54</f>
        <v>3060</v>
      </c>
      <c r="F39" s="156">
        <f>'Phase calculation'!K54</f>
        <v>1530</v>
      </c>
      <c r="I39" s="156">
        <f>'Phase calculation'!L54</f>
        <v>695</v>
      </c>
      <c r="J39" s="156">
        <f>'Phase calculation'!M54</f>
        <v>3060</v>
      </c>
      <c r="K39" s="156">
        <f>'Phase calculation'!N54</f>
        <v>1530</v>
      </c>
      <c r="N39" s="156">
        <f>'Phase calculation'!C54</f>
        <v>3060</v>
      </c>
      <c r="O39" s="156">
        <f>'Phase calculation'!D54</f>
        <v>4590</v>
      </c>
      <c r="P39" s="156">
        <f>'Phase calculation'!E54</f>
        <v>1530</v>
      </c>
      <c r="S39" s="156">
        <f>'Phase calculation'!F54</f>
        <v>3060</v>
      </c>
      <c r="T39" s="156">
        <f>'Phase calculation'!G54</f>
        <v>4590</v>
      </c>
      <c r="U39" s="156">
        <f>'Phase calculation'!H54</f>
        <v>1530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'Phase calculation'!C83</f>
        <v>10</v>
      </c>
      <c r="C41" s="67">
        <f>'Phase calculation'!D83</f>
        <v>36</v>
      </c>
      <c r="D41" s="67">
        <f>'Phase calculation'!E83</f>
        <v>0</v>
      </c>
      <c r="E41" s="67">
        <f>'Phase calculation'!F83</f>
        <v>24</v>
      </c>
      <c r="F41" s="67">
        <f>'Phase calculation'!C84</f>
        <v>9</v>
      </c>
      <c r="G41" s="67">
        <f>'Phase calculation'!D84</f>
        <v>37</v>
      </c>
      <c r="H41" s="67">
        <f>'Phase calculation'!E84</f>
        <v>0</v>
      </c>
      <c r="I41" s="67">
        <f>'Phase calculation'!F84</f>
        <v>24</v>
      </c>
      <c r="J41" s="67">
        <f>IF(SUM(B41:I41)=0,0,'Phase calculation'!C25)</f>
        <v>70</v>
      </c>
      <c r="K41" s="62">
        <v>0</v>
      </c>
      <c r="L41" s="62">
        <v>1357</v>
      </c>
      <c r="M41" s="62">
        <v>0</v>
      </c>
    </row>
    <row r="42" spans="1:31" s="62" customFormat="1" x14ac:dyDescent="0.25">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25">
      <c r="A43" s="200" t="s">
        <v>254</v>
      </c>
      <c r="B43" s="62" t="str">
        <f>Phasing!C30</f>
        <v>Minor &amp; Major</v>
      </c>
      <c r="C43" s="389">
        <f>Phasing!D30</f>
        <v>111</v>
      </c>
      <c r="D43" s="389">
        <f>Phasing!E30</f>
        <v>112</v>
      </c>
      <c r="E43" s="389">
        <f>Phasing!F30</f>
        <v>0</v>
      </c>
      <c r="F43" s="389">
        <f>Phasing!G30</f>
        <v>211</v>
      </c>
      <c r="G43" s="389">
        <f>Phasing!H30</f>
        <v>121</v>
      </c>
      <c r="H43" s="389">
        <f>Phasing!I30</f>
        <v>122</v>
      </c>
      <c r="I43" s="389">
        <f>Phasing!J30</f>
        <v>0</v>
      </c>
      <c r="J43" s="389">
        <f>Phasing!K30</f>
        <v>222</v>
      </c>
      <c r="O43" s="498" t="s">
        <v>203</v>
      </c>
      <c r="P43" s="498"/>
      <c r="Q43" s="498"/>
      <c r="R43" s="498"/>
      <c r="S43" s="498"/>
      <c r="T43" s="498"/>
      <c r="U43" s="498"/>
      <c r="V43" s="498"/>
    </row>
    <row r="44" spans="1:31" x14ac:dyDescent="0.25">
      <c r="A44" s="200" t="s">
        <v>255</v>
      </c>
      <c r="B44" s="62" t="str">
        <f>Phasing!C31</f>
        <v>Minor &amp; Major</v>
      </c>
      <c r="C44" s="389">
        <f>C45</f>
        <v>6.1</v>
      </c>
      <c r="D44" s="389">
        <f t="shared" ref="D44:J44" si="0">D45</f>
        <v>32.1</v>
      </c>
      <c r="E44" s="389">
        <f t="shared" si="0"/>
        <v>0</v>
      </c>
      <c r="F44" s="389">
        <f t="shared" si="0"/>
        <v>18.3</v>
      </c>
      <c r="G44" s="389">
        <f t="shared" si="0"/>
        <v>5.0999999999999996</v>
      </c>
      <c r="H44" s="389">
        <f t="shared" si="0"/>
        <v>33.1</v>
      </c>
      <c r="I44" s="389">
        <f t="shared" si="0"/>
        <v>0</v>
      </c>
      <c r="J44" s="389">
        <f t="shared" si="0"/>
        <v>18.3</v>
      </c>
      <c r="O44" s="495" t="s">
        <v>201</v>
      </c>
      <c r="P44" s="495"/>
      <c r="Q44" s="495"/>
      <c r="R44" s="495"/>
      <c r="S44" s="495"/>
      <c r="T44" s="495"/>
      <c r="U44" s="495"/>
      <c r="V44" s="495"/>
      <c r="X44" s="496" t="s">
        <v>239</v>
      </c>
      <c r="Y44" s="496"/>
      <c r="Z44" s="496"/>
      <c r="AA44" s="496"/>
      <c r="AB44" s="496"/>
      <c r="AC44" s="496"/>
      <c r="AD44" s="496"/>
      <c r="AE44" s="496"/>
    </row>
    <row r="45" spans="1:31" ht="15" customHeight="1" x14ac:dyDescent="0.25">
      <c r="A45" s="200" t="s">
        <v>256</v>
      </c>
      <c r="B45" s="62" t="str">
        <f>Phasing!C32</f>
        <v>Minor &amp; Major</v>
      </c>
      <c r="C45" s="389">
        <f>Phasing!D58</f>
        <v>6.1</v>
      </c>
      <c r="D45" s="389">
        <f>Phasing!E58</f>
        <v>32.1</v>
      </c>
      <c r="E45" s="389">
        <f>Phasing!F58</f>
        <v>0</v>
      </c>
      <c r="F45" s="389">
        <f>Phasing!G58</f>
        <v>18.3</v>
      </c>
      <c r="G45" s="389">
        <f>Phasing!H58</f>
        <v>5.0999999999999996</v>
      </c>
      <c r="H45" s="389">
        <f>Phasing!I58</f>
        <v>33.1</v>
      </c>
      <c r="I45" s="389">
        <f>Phasing!J58</f>
        <v>0</v>
      </c>
      <c r="J45" s="389">
        <f>Phasing!K58</f>
        <v>18.3</v>
      </c>
      <c r="O45" s="98" t="s">
        <v>202</v>
      </c>
      <c r="P45" s="98"/>
      <c r="Q45" s="98"/>
      <c r="R45" s="98"/>
      <c r="S45" s="98"/>
      <c r="T45" s="98"/>
      <c r="U45" s="98"/>
      <c r="V45" s="99"/>
      <c r="X45" s="496"/>
      <c r="Y45" s="496"/>
      <c r="Z45" s="496"/>
      <c r="AA45" s="496"/>
      <c r="AB45" s="496"/>
      <c r="AC45" s="496"/>
      <c r="AD45" s="496"/>
      <c r="AE45" s="496"/>
    </row>
    <row r="46" spans="1:31" x14ac:dyDescent="0.25">
      <c r="A46" s="200" t="s">
        <v>257</v>
      </c>
      <c r="B46" s="62" t="str">
        <f>Phasing!C33</f>
        <v>Minor &amp; Major</v>
      </c>
      <c r="C46" s="389">
        <f>Phasing!D33</f>
        <v>2.2999999999999998</v>
      </c>
      <c r="D46" s="389">
        <f>Phasing!E33</f>
        <v>2.2999999999999998</v>
      </c>
      <c r="E46" s="389">
        <f>Phasing!F33</f>
        <v>0</v>
      </c>
      <c r="F46" s="389">
        <f>Phasing!G33</f>
        <v>2</v>
      </c>
      <c r="G46" s="389">
        <f>Phasing!H33</f>
        <v>2.2999999999999998</v>
      </c>
      <c r="H46" s="389">
        <f>Phasing!I33</f>
        <v>2.2999999999999998</v>
      </c>
      <c r="I46" s="389">
        <f>Phasing!J33</f>
        <v>0</v>
      </c>
      <c r="J46" s="389">
        <f>Phasing!K33</f>
        <v>2</v>
      </c>
      <c r="P46" s="97"/>
      <c r="Q46" s="97"/>
      <c r="R46" s="97"/>
      <c r="S46" s="97"/>
      <c r="T46" s="97"/>
      <c r="U46" s="97"/>
      <c r="X46" s="496"/>
      <c r="Y46" s="496"/>
      <c r="Z46" s="496"/>
      <c r="AA46" s="496"/>
      <c r="AB46" s="496"/>
      <c r="AC46" s="496"/>
      <c r="AD46" s="496"/>
      <c r="AE46" s="496"/>
    </row>
    <row r="47" spans="1:31" ht="15" customHeight="1" x14ac:dyDescent="0.25">
      <c r="A47" s="200" t="s">
        <v>258</v>
      </c>
      <c r="B47" s="62" t="str">
        <f>Phasing!C34</f>
        <v>Minor &amp; Major</v>
      </c>
      <c r="C47" s="389">
        <f>Phasing!D34</f>
        <v>10</v>
      </c>
      <c r="D47" s="389">
        <f>Phasing!E34</f>
        <v>10</v>
      </c>
      <c r="E47" s="389">
        <f>Phasing!F34</f>
        <v>0</v>
      </c>
      <c r="F47" s="389">
        <f>Phasing!G34</f>
        <v>10</v>
      </c>
      <c r="G47" s="389">
        <f>Phasing!H34</f>
        <v>10</v>
      </c>
      <c r="H47" s="389">
        <f>Phasing!I34</f>
        <v>10</v>
      </c>
      <c r="I47" s="389">
        <f>Phasing!J34</f>
        <v>0</v>
      </c>
      <c r="J47" s="389">
        <f>Phasing!K34</f>
        <v>10</v>
      </c>
      <c r="O47" s="497" t="s">
        <v>222</v>
      </c>
      <c r="P47" s="497"/>
      <c r="Q47" s="497"/>
      <c r="R47" s="497"/>
      <c r="S47" s="497"/>
      <c r="T47" s="497"/>
      <c r="U47" s="497"/>
      <c r="V47" s="497"/>
      <c r="X47" s="496"/>
      <c r="Y47" s="496"/>
      <c r="Z47" s="496"/>
      <c r="AA47" s="496"/>
      <c r="AB47" s="496"/>
      <c r="AC47" s="496"/>
      <c r="AD47" s="496"/>
      <c r="AE47" s="496"/>
    </row>
    <row r="48" spans="1:31" x14ac:dyDescent="0.25">
      <c r="A48" s="200" t="s">
        <v>259</v>
      </c>
      <c r="B48" s="62" t="str">
        <f>Phasing!C35</f>
        <v>Minor &amp; Major</v>
      </c>
      <c r="C48" s="389">
        <f>Phasing!D35</f>
        <v>8</v>
      </c>
      <c r="D48" s="389">
        <f>Phasing!E35</f>
        <v>15</v>
      </c>
      <c r="E48" s="389">
        <f>Phasing!F35</f>
        <v>0</v>
      </c>
      <c r="F48" s="389">
        <f>Phasing!G35</f>
        <v>18</v>
      </c>
      <c r="G48" s="389">
        <f>Phasing!H35</f>
        <v>33</v>
      </c>
      <c r="H48" s="389">
        <f>Phasing!I35</f>
        <v>8</v>
      </c>
      <c r="I48" s="389">
        <f>Phasing!J35</f>
        <v>0</v>
      </c>
      <c r="J48" s="389">
        <f>Phasing!K35</f>
        <v>8</v>
      </c>
      <c r="O48" s="497"/>
      <c r="P48" s="497"/>
      <c r="Q48" s="497"/>
      <c r="R48" s="497"/>
      <c r="S48" s="497"/>
      <c r="T48" s="497"/>
      <c r="U48" s="497"/>
      <c r="V48" s="497"/>
      <c r="X48" s="496"/>
      <c r="Y48" s="496"/>
      <c r="Z48" s="496"/>
      <c r="AA48" s="496"/>
      <c r="AB48" s="496"/>
      <c r="AC48" s="496"/>
      <c r="AD48" s="496"/>
      <c r="AE48" s="496"/>
    </row>
    <row r="49" spans="1:22" x14ac:dyDescent="0.25">
      <c r="A49" s="200" t="s">
        <v>260</v>
      </c>
      <c r="B49" s="62" t="str">
        <f>Phasing!C36</f>
        <v>Minor &amp; Major</v>
      </c>
      <c r="C49" s="389">
        <f>Phasing!D36</f>
        <v>0.3</v>
      </c>
      <c r="D49" s="389">
        <f>Phasing!E36</f>
        <v>0.3</v>
      </c>
      <c r="E49" s="389">
        <f>Phasing!F36</f>
        <v>0</v>
      </c>
      <c r="F49" s="389">
        <f>Phasing!G36</f>
        <v>0</v>
      </c>
      <c r="G49" s="389">
        <f>Phasing!H36</f>
        <v>0.3</v>
      </c>
      <c r="H49" s="389">
        <f>Phasing!I36</f>
        <v>0.3</v>
      </c>
      <c r="I49" s="389">
        <f>Phasing!J36</f>
        <v>0</v>
      </c>
      <c r="J49" s="389">
        <f>Phasing!K36</f>
        <v>0</v>
      </c>
      <c r="O49" s="497"/>
      <c r="P49" s="497"/>
      <c r="Q49" s="497"/>
      <c r="R49" s="497"/>
      <c r="S49" s="497"/>
      <c r="T49" s="497"/>
      <c r="U49" s="497"/>
      <c r="V49" s="497"/>
    </row>
    <row r="50" spans="1:22" x14ac:dyDescent="0.25">
      <c r="A50" s="200" t="s">
        <v>261</v>
      </c>
      <c r="B50" s="62" t="str">
        <f>Phasing!C37</f>
        <v>Minor &amp; Major</v>
      </c>
      <c r="C50" s="389">
        <f>Phasing!D37</f>
        <v>3.9</v>
      </c>
      <c r="D50" s="389">
        <f>Phasing!E37</f>
        <v>3.9</v>
      </c>
      <c r="E50" s="389">
        <f>Phasing!F37</f>
        <v>0</v>
      </c>
      <c r="F50" s="389">
        <f>Phasing!G37</f>
        <v>3.2</v>
      </c>
      <c r="G50" s="389">
        <f>Phasing!H37</f>
        <v>3.9</v>
      </c>
      <c r="H50" s="389">
        <f>Phasing!I37</f>
        <v>3.9</v>
      </c>
      <c r="I50" s="389">
        <f>Phasing!J37</f>
        <v>0</v>
      </c>
      <c r="J50" s="389">
        <f>Phasing!K37</f>
        <v>3.2</v>
      </c>
      <c r="O50" s="497"/>
      <c r="P50" s="497"/>
      <c r="Q50" s="497"/>
      <c r="R50" s="497"/>
      <c r="S50" s="497"/>
      <c r="T50" s="497"/>
      <c r="U50" s="497"/>
      <c r="V50" s="497"/>
    </row>
    <row r="51" spans="1:22" x14ac:dyDescent="0.25">
      <c r="A51" s="200" t="s">
        <v>262</v>
      </c>
      <c r="B51" s="62" t="str">
        <f>Phasing!C38</f>
        <v>Minor &amp; Major</v>
      </c>
      <c r="C51" s="389">
        <f>Phasing!D38</f>
        <v>0</v>
      </c>
      <c r="D51" s="389">
        <f>Phasing!E38</f>
        <v>0</v>
      </c>
      <c r="E51" s="389">
        <f>Phasing!F38</f>
        <v>0</v>
      </c>
      <c r="F51" s="389">
        <f>Phasing!G38</f>
        <v>2.5</v>
      </c>
      <c r="G51" s="389">
        <f>Phasing!H38</f>
        <v>0</v>
      </c>
      <c r="H51" s="389">
        <f>Phasing!I38</f>
        <v>0</v>
      </c>
      <c r="I51" s="389">
        <f>Phasing!J38</f>
        <v>0</v>
      </c>
      <c r="J51" s="389">
        <f>Phasing!K38</f>
        <v>2.5</v>
      </c>
      <c r="O51" s="497"/>
      <c r="P51" s="497"/>
      <c r="Q51" s="497"/>
      <c r="R51" s="497"/>
      <c r="S51" s="497"/>
      <c r="T51" s="497"/>
      <c r="U51" s="497"/>
      <c r="V51" s="497"/>
    </row>
    <row r="52" spans="1:22" x14ac:dyDescent="0.25">
      <c r="A52" s="200" t="s">
        <v>263</v>
      </c>
      <c r="B52" s="62" t="str">
        <f>Phasing!C39</f>
        <v>Minor &amp; Major</v>
      </c>
      <c r="C52" s="389">
        <f>Phasing!D39</f>
        <v>0</v>
      </c>
      <c r="D52" s="389">
        <f>Phasing!E39</f>
        <v>0</v>
      </c>
      <c r="E52" s="389">
        <f>Phasing!F39</f>
        <v>0</v>
      </c>
      <c r="F52" s="389">
        <f>Phasing!G39</f>
        <v>0</v>
      </c>
      <c r="G52" s="389">
        <f>Phasing!H39</f>
        <v>0</v>
      </c>
      <c r="H52" s="389">
        <f>Phasing!I39</f>
        <v>0</v>
      </c>
      <c r="I52" s="389">
        <f>Phasing!J39</f>
        <v>0</v>
      </c>
      <c r="J52" s="389">
        <f>Phasing!K39</f>
        <v>0</v>
      </c>
      <c r="O52" s="497"/>
      <c r="P52" s="497"/>
      <c r="Q52" s="497"/>
      <c r="R52" s="497"/>
      <c r="S52" s="497"/>
      <c r="T52" s="497"/>
      <c r="U52" s="497"/>
      <c r="V52" s="497"/>
    </row>
    <row r="53" spans="1:22" x14ac:dyDescent="0.25">
      <c r="A53" s="200" t="s">
        <v>264</v>
      </c>
      <c r="B53" s="62" t="str">
        <f>Phasing!C40</f>
        <v>Minor &amp; Major</v>
      </c>
      <c r="C53" s="389">
        <f>Phasing!D40</f>
        <v>0</v>
      </c>
      <c r="D53" s="389">
        <f>Phasing!E40</f>
        <v>0</v>
      </c>
      <c r="E53" s="389">
        <f>Phasing!F40</f>
        <v>0</v>
      </c>
      <c r="F53" s="389">
        <f>Phasing!G40</f>
        <v>0</v>
      </c>
      <c r="G53" s="389">
        <f>Phasing!H40</f>
        <v>0</v>
      </c>
      <c r="H53" s="389">
        <f>Phasing!I40</f>
        <v>0</v>
      </c>
      <c r="I53" s="389">
        <f>Phasing!J40</f>
        <v>0</v>
      </c>
      <c r="J53" s="389">
        <f>Phasing!K40</f>
        <v>0</v>
      </c>
      <c r="O53" s="497"/>
      <c r="P53" s="497"/>
      <c r="Q53" s="497"/>
      <c r="R53" s="497"/>
      <c r="S53" s="497"/>
      <c r="T53" s="497"/>
      <c r="U53" s="497"/>
      <c r="V53" s="497"/>
    </row>
    <row r="54" spans="1:22" x14ac:dyDescent="0.25">
      <c r="A54" s="200" t="s">
        <v>265</v>
      </c>
      <c r="B54" s="62" t="str">
        <f>Phasing!C41</f>
        <v>Minor &amp; Major</v>
      </c>
      <c r="C54" s="389">
        <f>Phasing!D41</f>
        <v>0</v>
      </c>
      <c r="D54" s="389">
        <f>Phasing!E41</f>
        <v>0</v>
      </c>
      <c r="E54" s="389">
        <f>Phasing!F41</f>
        <v>0</v>
      </c>
      <c r="F54" s="389">
        <f>Phasing!G41</f>
        <v>0</v>
      </c>
      <c r="G54" s="389">
        <f>Phasing!H41</f>
        <v>0</v>
      </c>
      <c r="H54" s="389">
        <f>Phasing!I41</f>
        <v>0</v>
      </c>
      <c r="I54" s="389">
        <f>Phasing!J41</f>
        <v>0</v>
      </c>
      <c r="J54" s="389">
        <f>Phasing!K41</f>
        <v>0</v>
      </c>
      <c r="O54" s="497"/>
      <c r="P54" s="497"/>
      <c r="Q54" s="497"/>
      <c r="R54" s="497"/>
      <c r="S54" s="497"/>
      <c r="T54" s="497"/>
      <c r="U54" s="497"/>
      <c r="V54" s="497"/>
    </row>
    <row r="55" spans="1:22" x14ac:dyDescent="0.25">
      <c r="A55" s="200" t="s">
        <v>266</v>
      </c>
      <c r="B55" s="62" t="str">
        <f>Phasing!C42</f>
        <v>Minor &amp; Major</v>
      </c>
      <c r="C55" s="389">
        <f>Phasing!D42</f>
        <v>0</v>
      </c>
      <c r="D55" s="389">
        <f>Phasing!E42</f>
        <v>0</v>
      </c>
      <c r="E55" s="389">
        <f>Phasing!F42</f>
        <v>0</v>
      </c>
      <c r="F55" s="389">
        <f>Phasing!G42</f>
        <v>0</v>
      </c>
      <c r="G55" s="389">
        <f>Phasing!H42</f>
        <v>0</v>
      </c>
      <c r="H55" s="389">
        <f>Phasing!I42</f>
        <v>0</v>
      </c>
      <c r="I55" s="389">
        <f>Phasing!J42</f>
        <v>0</v>
      </c>
      <c r="J55" s="389">
        <f>Phasing!K42</f>
        <v>0</v>
      </c>
      <c r="O55" s="497"/>
      <c r="P55" s="497"/>
      <c r="Q55" s="497"/>
      <c r="R55" s="497"/>
      <c r="S55" s="497"/>
      <c r="T55" s="497"/>
      <c r="U55" s="497"/>
      <c r="V55" s="497"/>
    </row>
    <row r="56" spans="1:22" x14ac:dyDescent="0.25">
      <c r="A56" s="200" t="s">
        <v>267</v>
      </c>
      <c r="B56" s="62" t="str">
        <f>Phasing!C43</f>
        <v>Minor &amp; Major</v>
      </c>
      <c r="C56" s="389">
        <f>Phasing!D43</f>
        <v>9</v>
      </c>
      <c r="D56" s="389">
        <f>Phasing!E43</f>
        <v>14</v>
      </c>
      <c r="E56" s="389">
        <f>Phasing!F43</f>
        <v>0</v>
      </c>
      <c r="F56" s="389">
        <f>Phasing!G43</f>
        <v>16</v>
      </c>
      <c r="G56" s="389">
        <f>Phasing!H43</f>
        <v>9</v>
      </c>
      <c r="H56" s="389">
        <f>Phasing!I43</f>
        <v>14</v>
      </c>
      <c r="I56" s="389">
        <f>Phasing!J43</f>
        <v>0</v>
      </c>
      <c r="J56" s="389">
        <f>Phasing!K43</f>
        <v>16</v>
      </c>
    </row>
    <row r="57" spans="1:22" x14ac:dyDescent="0.25">
      <c r="A57" s="200" t="s">
        <v>268</v>
      </c>
      <c r="B57" s="62" t="str">
        <f>Phasing!C44</f>
        <v>Minor &amp; Major</v>
      </c>
      <c r="C57" s="389">
        <f>Phasing!D44</f>
        <v>0</v>
      </c>
      <c r="D57" s="389">
        <f>Phasing!E44</f>
        <v>1</v>
      </c>
      <c r="E57" s="389">
        <f>Phasing!F44</f>
        <v>0</v>
      </c>
      <c r="F57" s="389">
        <f>Phasing!G44</f>
        <v>1</v>
      </c>
      <c r="G57" s="389">
        <f>Phasing!H44</f>
        <v>0</v>
      </c>
      <c r="H57" s="389">
        <f>Phasing!I44</f>
        <v>1</v>
      </c>
      <c r="I57" s="389">
        <f>Phasing!J44</f>
        <v>0</v>
      </c>
      <c r="J57" s="389">
        <f>Phasing!K44</f>
        <v>1</v>
      </c>
    </row>
    <row r="58" spans="1:22" x14ac:dyDescent="0.25">
      <c r="A58" s="200" t="s">
        <v>269</v>
      </c>
      <c r="B58" s="62" t="str">
        <f>Phasing!C45</f>
        <v>Minor &amp; Major</v>
      </c>
      <c r="C58" s="389">
        <f>Phasing!D45</f>
        <v>1</v>
      </c>
      <c r="D58" s="389">
        <f>Phasing!E45</f>
        <v>1</v>
      </c>
      <c r="E58" s="389">
        <f>Phasing!F45</f>
        <v>0</v>
      </c>
      <c r="F58" s="389">
        <f>Phasing!G45</f>
        <v>1</v>
      </c>
      <c r="G58" s="389">
        <f>Phasing!H45</f>
        <v>1</v>
      </c>
      <c r="H58" s="389">
        <f>Phasing!I45</f>
        <v>1</v>
      </c>
      <c r="I58" s="389">
        <f>Phasing!J45</f>
        <v>0</v>
      </c>
      <c r="J58" s="389">
        <f>Phasing!K45</f>
        <v>1</v>
      </c>
    </row>
    <row r="59" spans="1:22" x14ac:dyDescent="0.25">
      <c r="A59" s="200" t="s">
        <v>270</v>
      </c>
      <c r="B59" s="62" t="str">
        <f>Phasing!C46</f>
        <v>Minor &amp; Major</v>
      </c>
      <c r="C59" s="389">
        <f>Phasing!D46</f>
        <v>0</v>
      </c>
      <c r="D59" s="389">
        <f>Phasing!E46</f>
        <v>10</v>
      </c>
      <c r="E59" s="389">
        <f>Phasing!F46</f>
        <v>0</v>
      </c>
      <c r="F59" s="389">
        <f>Phasing!G46</f>
        <v>46</v>
      </c>
      <c r="G59" s="389">
        <f>Phasing!H46</f>
        <v>0</v>
      </c>
      <c r="H59" s="389">
        <f>Phasing!I46</f>
        <v>9</v>
      </c>
      <c r="I59" s="389">
        <f>Phasing!J46</f>
        <v>0</v>
      </c>
      <c r="J59" s="389">
        <f>Phasing!K46</f>
        <v>46</v>
      </c>
    </row>
    <row r="60" spans="1:22" x14ac:dyDescent="0.25">
      <c r="A60" s="200" t="s">
        <v>271</v>
      </c>
      <c r="B60" s="62" t="str">
        <f>Phasing!C47</f>
        <v>Minor &amp; Major</v>
      </c>
      <c r="C60" s="389">
        <f>Phasing!D47</f>
        <v>10</v>
      </c>
      <c r="D60" s="389">
        <f>Phasing!E47</f>
        <v>46</v>
      </c>
      <c r="E60" s="389">
        <f>Phasing!F47</f>
        <v>0</v>
      </c>
      <c r="F60" s="389">
        <f>Phasing!G47</f>
        <v>70</v>
      </c>
      <c r="G60" s="389">
        <f>Phasing!H47</f>
        <v>9</v>
      </c>
      <c r="H60" s="389">
        <f>Phasing!I47</f>
        <v>46</v>
      </c>
      <c r="I60" s="389">
        <f>Phasing!J47</f>
        <v>0</v>
      </c>
      <c r="J60" s="389">
        <f>Phasing!K47</f>
        <v>70</v>
      </c>
    </row>
    <row r="61" spans="1:22" x14ac:dyDescent="0.25">
      <c r="A61" s="200" t="s">
        <v>272</v>
      </c>
      <c r="B61" s="62" t="str">
        <f>Phasing!C48</f>
        <v>Minor &amp; Major</v>
      </c>
      <c r="C61" s="389">
        <f>Phasing!D48</f>
        <v>6</v>
      </c>
      <c r="D61" s="389">
        <f>Phasing!E48</f>
        <v>42</v>
      </c>
      <c r="E61" s="389">
        <f>Phasing!F48</f>
        <v>0</v>
      </c>
      <c r="F61" s="389">
        <f>Phasing!G48</f>
        <v>64</v>
      </c>
      <c r="G61" s="389">
        <f>Phasing!H48</f>
        <v>5</v>
      </c>
      <c r="H61" s="389">
        <f>Phasing!I48</f>
        <v>42</v>
      </c>
      <c r="I61" s="389">
        <f>Phasing!J48</f>
        <v>0</v>
      </c>
      <c r="J61" s="389">
        <f>Phasing!K48</f>
        <v>64</v>
      </c>
    </row>
    <row r="62" spans="1:22" x14ac:dyDescent="0.25">
      <c r="A62" s="200" t="s">
        <v>273</v>
      </c>
      <c r="B62" s="62" t="str">
        <f>Phasing!C49</f>
        <v>Minor &amp; Major</v>
      </c>
      <c r="C62" s="389">
        <f>Phasing!D49</f>
        <v>6</v>
      </c>
      <c r="D62" s="389">
        <f>Phasing!E49</f>
        <v>42</v>
      </c>
      <c r="E62" s="389">
        <f>Phasing!F49</f>
        <v>0</v>
      </c>
      <c r="F62" s="389">
        <f>Phasing!G49</f>
        <v>64</v>
      </c>
      <c r="G62" s="389">
        <f>Phasing!H49</f>
        <v>5</v>
      </c>
      <c r="H62" s="389">
        <f>Phasing!I49</f>
        <v>42</v>
      </c>
      <c r="I62" s="389">
        <f>Phasing!J49</f>
        <v>0</v>
      </c>
      <c r="J62" s="389">
        <f>Phasing!K49</f>
        <v>64</v>
      </c>
    </row>
    <row r="63" spans="1:22" x14ac:dyDescent="0.25">
      <c r="A63" s="200" t="s">
        <v>274</v>
      </c>
      <c r="B63" s="62" t="str">
        <f>Phasing!C50</f>
        <v>Minor &amp; Major</v>
      </c>
      <c r="C63" s="389">
        <f>Phasing!D50</f>
        <v>0</v>
      </c>
      <c r="D63" s="389">
        <f>Phasing!E50</f>
        <v>10</v>
      </c>
      <c r="E63" s="389">
        <f>Phasing!F50</f>
        <v>0</v>
      </c>
      <c r="F63" s="389">
        <f>Phasing!G50</f>
        <v>46</v>
      </c>
      <c r="G63" s="389">
        <f>Phasing!H50</f>
        <v>0</v>
      </c>
      <c r="H63" s="389">
        <f>Phasing!I50</f>
        <v>9</v>
      </c>
      <c r="I63" s="389">
        <f>Phasing!J50</f>
        <v>0</v>
      </c>
      <c r="J63" s="389">
        <f>Phasing!K50</f>
        <v>46</v>
      </c>
    </row>
    <row r="64" spans="1:22" x14ac:dyDescent="0.25">
      <c r="A64" s="200" t="s">
        <v>275</v>
      </c>
      <c r="B64" s="62" t="str">
        <f>Phasing!C51</f>
        <v>Minor &amp; Major</v>
      </c>
      <c r="C64" s="389">
        <f>Phasing!D51</f>
        <v>6</v>
      </c>
      <c r="D64" s="389">
        <f>Phasing!E51</f>
        <v>42</v>
      </c>
      <c r="E64" s="389">
        <f>Phasing!F51</f>
        <v>0</v>
      </c>
      <c r="F64" s="389">
        <f>Phasing!G51</f>
        <v>64</v>
      </c>
      <c r="G64" s="389">
        <f>Phasing!H51</f>
        <v>5</v>
      </c>
      <c r="H64" s="389">
        <f>Phasing!I51</f>
        <v>42</v>
      </c>
      <c r="I64" s="389">
        <f>Phasing!J51</f>
        <v>0</v>
      </c>
      <c r="J64" s="389">
        <f>Phasing!K51</f>
        <v>64</v>
      </c>
    </row>
    <row r="65" spans="1:21" x14ac:dyDescent="0.25">
      <c r="A65" s="200" t="s">
        <v>276</v>
      </c>
      <c r="B65" s="62" t="str">
        <f>Phasing!C52</f>
        <v>Minor &amp; Major</v>
      </c>
      <c r="C65" s="389">
        <f>Phasing!D52</f>
        <v>6</v>
      </c>
      <c r="D65" s="389">
        <f>Phasing!E52</f>
        <v>42</v>
      </c>
      <c r="E65" s="389">
        <f>Phasing!F52</f>
        <v>0</v>
      </c>
      <c r="F65" s="389">
        <f>Phasing!G52</f>
        <v>64</v>
      </c>
      <c r="G65" s="389">
        <f>Phasing!H52</f>
        <v>5</v>
      </c>
      <c r="H65" s="389">
        <f>Phasing!I52</f>
        <v>42</v>
      </c>
      <c r="I65" s="389">
        <f>Phasing!J52</f>
        <v>0</v>
      </c>
      <c r="J65" s="389">
        <f>Phasing!K52</f>
        <v>64</v>
      </c>
    </row>
    <row r="66" spans="1:21" s="156" customFormat="1" x14ac:dyDescent="0.25">
      <c r="A66" s="302" t="s">
        <v>368</v>
      </c>
      <c r="D66" s="156">
        <f>'Phase calculation'!I55</f>
        <v>0.2857142857142857</v>
      </c>
      <c r="E66" s="156">
        <f>'Phase calculation'!J55</f>
        <v>0.2857142857142857</v>
      </c>
      <c r="F66" s="156">
        <f>'Phase calculation'!K55</f>
        <v>0.2857142857142857</v>
      </c>
      <c r="I66" s="156">
        <f>'Phase calculation'!L55</f>
        <v>0.2857142857142857</v>
      </c>
      <c r="J66" s="156">
        <f>'Phase calculation'!M55</f>
        <v>0.2857142857142857</v>
      </c>
      <c r="K66" s="156">
        <f>'Phase calculation'!N55</f>
        <v>0.2857142857142857</v>
      </c>
      <c r="N66" s="156">
        <f>'Phase calculation'!C55</f>
        <v>7.1428571428571425E-2</v>
      </c>
      <c r="O66" s="156">
        <f>'Phase calculation'!D55</f>
        <v>0.45714285714285713</v>
      </c>
      <c r="P66" s="156">
        <f>'Phase calculation'!E55</f>
        <v>0.45714285714285713</v>
      </c>
      <c r="S66" s="156">
        <f>'Phase calculation'!F55</f>
        <v>8.5714285714285715E-2</v>
      </c>
      <c r="T66" s="156">
        <f>'Phase calculation'!G55</f>
        <v>0.47142857142857142</v>
      </c>
      <c r="U66" s="156">
        <f>'Phase calculation'!H55</f>
        <v>0.47142857142857142</v>
      </c>
    </row>
    <row r="67" spans="1:21" x14ac:dyDescent="0.25">
      <c r="A67" s="499" t="s">
        <v>73</v>
      </c>
      <c r="B67" s="499"/>
      <c r="C67" s="388" t="str">
        <f>'Summary sheet'!G93</f>
        <v>Not used</v>
      </c>
      <c r="D67" s="388" t="str">
        <f>'Summary sheet'!H93</f>
        <v>Not used</v>
      </c>
      <c r="E67" s="388" t="str">
        <f>'Summary sheet'!I93</f>
        <v>Not used</v>
      </c>
      <c r="F67" s="388" t="str">
        <f>'Summary sheet'!J93</f>
        <v>Not used</v>
      </c>
      <c r="G67" s="388" t="str">
        <f>'Summary sheet'!K93</f>
        <v>Not used</v>
      </c>
      <c r="H67" s="388" t="str">
        <f>'Summary sheet'!L93</f>
        <v>Not used</v>
      </c>
      <c r="I67" s="388" t="str">
        <f>'Summary sheet'!M93</f>
        <v>Not used</v>
      </c>
      <c r="J67" s="388" t="str">
        <f>'Summary sheet'!N93</f>
        <v>Not used</v>
      </c>
    </row>
    <row r="68" spans="1:21" x14ac:dyDescent="0.25">
      <c r="A68" s="499" t="s">
        <v>474</v>
      </c>
      <c r="B68" s="499"/>
      <c r="C68" s="388" t="str">
        <f>IF(AND(C70&gt;0,C70=H70),"X","")</f>
        <v>X</v>
      </c>
      <c r="D68" s="388"/>
      <c r="E68" s="388" t="str">
        <f>IF(AND(E70&gt;0,E70=J70),"X","")</f>
        <v>X</v>
      </c>
      <c r="F68" s="388"/>
      <c r="G68" s="388" t="str">
        <f>IF(AND(G70&gt;0,G70=D70),"X","")</f>
        <v>X</v>
      </c>
      <c r="H68" s="388"/>
      <c r="I68" s="388" t="str">
        <f>IF(AND(I70&gt;0,I70=F70),"X","")</f>
        <v>X</v>
      </c>
      <c r="J68" s="388"/>
    </row>
    <row r="69" spans="1:21" x14ac:dyDescent="0.25">
      <c r="A69" s="499" t="s">
        <v>472</v>
      </c>
      <c r="B69" s="499"/>
      <c r="C69" s="388" t="str">
        <f>IF(C67="Not used",H67,C67)</f>
        <v>Not used</v>
      </c>
      <c r="D69" s="388" t="str">
        <f>D67</f>
        <v>Not used</v>
      </c>
      <c r="E69" s="388" t="str">
        <f>IF(E67="Not used",J67,E67)</f>
        <v>Not used</v>
      </c>
      <c r="F69" s="388" t="str">
        <f>F67</f>
        <v>Not used</v>
      </c>
      <c r="G69" s="388" t="str">
        <f>IF(G67="Not used",D67,G67)</f>
        <v>Not used</v>
      </c>
      <c r="H69" s="388" t="str">
        <f>H67</f>
        <v>Not used</v>
      </c>
      <c r="I69" s="388" t="str">
        <f>IF(I67="Not used",F67,I67)</f>
        <v>Not used</v>
      </c>
      <c r="J69" s="388" t="str">
        <f>J67</f>
        <v>Not used</v>
      </c>
      <c r="O69" t="s">
        <v>4</v>
      </c>
      <c r="P69" t="s">
        <v>3</v>
      </c>
    </row>
    <row r="70" spans="1:21" x14ac:dyDescent="0.25">
      <c r="C70" s="388">
        <f t="shared" ref="C70:J70" si="1">IFERROR(MATCH(C69,$C$67:$J$67,0),0)</f>
        <v>1</v>
      </c>
      <c r="D70" s="388">
        <f t="shared" si="1"/>
        <v>1</v>
      </c>
      <c r="E70" s="388">
        <f t="shared" si="1"/>
        <v>1</v>
      </c>
      <c r="F70" s="388">
        <f t="shared" si="1"/>
        <v>1</v>
      </c>
      <c r="G70" s="388">
        <f t="shared" si="1"/>
        <v>1</v>
      </c>
      <c r="H70" s="388">
        <f t="shared" si="1"/>
        <v>1</v>
      </c>
      <c r="I70" s="388">
        <f t="shared" si="1"/>
        <v>1</v>
      </c>
      <c r="J70" s="388">
        <f t="shared" si="1"/>
        <v>1</v>
      </c>
      <c r="O70" t="s">
        <v>9</v>
      </c>
      <c r="P70" t="s">
        <v>8</v>
      </c>
    </row>
    <row r="71" spans="1:21" x14ac:dyDescent="0.25">
      <c r="A71" t="s">
        <v>475</v>
      </c>
      <c r="C71" s="388">
        <f t="shared" ref="C71:J71" si="2">IF(C67="Not used",0,MATCH(C77,$D$1:$U$1,0))</f>
        <v>0</v>
      </c>
      <c r="D71" s="388">
        <f t="shared" si="2"/>
        <v>0</v>
      </c>
      <c r="E71" s="388">
        <f t="shared" si="2"/>
        <v>0</v>
      </c>
      <c r="F71" s="388">
        <f t="shared" si="2"/>
        <v>0</v>
      </c>
      <c r="G71" s="388">
        <f t="shared" si="2"/>
        <v>0</v>
      </c>
      <c r="H71" s="388">
        <f t="shared" si="2"/>
        <v>0</v>
      </c>
      <c r="I71" s="388">
        <f t="shared" si="2"/>
        <v>0</v>
      </c>
      <c r="J71" s="388">
        <f t="shared" si="2"/>
        <v>0</v>
      </c>
      <c r="O71" t="s">
        <v>14</v>
      </c>
      <c r="P71" t="s">
        <v>13</v>
      </c>
    </row>
    <row r="72" spans="1:21" x14ac:dyDescent="0.25">
      <c r="A72" s="500" t="s">
        <v>476</v>
      </c>
      <c r="B72" s="500"/>
      <c r="C72" s="302">
        <f>IF(C71=0,0,INDEX($D$17:$U$17,1,C71))</f>
        <v>0</v>
      </c>
      <c r="D72" s="391">
        <f t="shared" ref="D72:J72" si="3">IF(D71=0,0,INDEX($D$17:$U$17,1,D71))</f>
        <v>0</v>
      </c>
      <c r="E72" s="391">
        <f t="shared" si="3"/>
        <v>0</v>
      </c>
      <c r="F72" s="391">
        <f t="shared" si="3"/>
        <v>0</v>
      </c>
      <c r="G72" s="391">
        <f t="shared" si="3"/>
        <v>0</v>
      </c>
      <c r="H72" s="391">
        <f t="shared" si="3"/>
        <v>0</v>
      </c>
      <c r="I72" s="391">
        <f t="shared" si="3"/>
        <v>0</v>
      </c>
      <c r="J72" s="391">
        <f t="shared" si="3"/>
        <v>0</v>
      </c>
      <c r="O72" t="s">
        <v>19</v>
      </c>
      <c r="P72" t="s">
        <v>18</v>
      </c>
    </row>
    <row r="73" spans="1:21" x14ac:dyDescent="0.25">
      <c r="A73" s="492" t="s">
        <v>477</v>
      </c>
      <c r="B73" s="492"/>
      <c r="C73" s="304">
        <f>C59</f>
        <v>0</v>
      </c>
      <c r="D73" s="304">
        <f t="shared" ref="D73:J73" si="4">D59</f>
        <v>10</v>
      </c>
      <c r="E73" s="304">
        <f t="shared" si="4"/>
        <v>0</v>
      </c>
      <c r="F73" s="304">
        <f t="shared" si="4"/>
        <v>46</v>
      </c>
      <c r="G73" s="304">
        <f t="shared" si="4"/>
        <v>0</v>
      </c>
      <c r="H73" s="304">
        <f t="shared" si="4"/>
        <v>9</v>
      </c>
      <c r="I73" s="304">
        <f t="shared" si="4"/>
        <v>0</v>
      </c>
      <c r="J73" s="304">
        <f t="shared" si="4"/>
        <v>46</v>
      </c>
      <c r="O73" t="s">
        <v>480</v>
      </c>
      <c r="P73">
        <v>0</v>
      </c>
    </row>
    <row r="74" spans="1:21" x14ac:dyDescent="0.25">
      <c r="A74" s="493" t="s">
        <v>478</v>
      </c>
      <c r="B74" s="493"/>
      <c r="C74" s="390">
        <f>C73+C72</f>
        <v>0</v>
      </c>
      <c r="D74" s="390">
        <f t="shared" ref="D74:J74" si="5">D73+D72</f>
        <v>10</v>
      </c>
      <c r="E74" s="390">
        <f t="shared" si="5"/>
        <v>0</v>
      </c>
      <c r="F74" s="390">
        <f t="shared" si="5"/>
        <v>46</v>
      </c>
      <c r="G74" s="390">
        <f t="shared" si="5"/>
        <v>0</v>
      </c>
      <c r="H74" s="390">
        <f t="shared" si="5"/>
        <v>9</v>
      </c>
      <c r="I74" s="390">
        <f t="shared" si="5"/>
        <v>0</v>
      </c>
      <c r="J74" s="390">
        <f t="shared" si="5"/>
        <v>46</v>
      </c>
      <c r="O74" t="s">
        <v>3</v>
      </c>
      <c r="P74" t="s">
        <v>3</v>
      </c>
    </row>
    <row r="75" spans="1:21" x14ac:dyDescent="0.25">
      <c r="C75" s="388">
        <v>1</v>
      </c>
      <c r="D75" s="388">
        <v>2</v>
      </c>
      <c r="E75" s="388">
        <v>3</v>
      </c>
      <c r="F75" s="388">
        <v>4</v>
      </c>
      <c r="G75" s="388">
        <v>5</v>
      </c>
      <c r="H75" s="388">
        <v>6</v>
      </c>
      <c r="I75" s="388">
        <v>7</v>
      </c>
      <c r="J75" s="388">
        <v>8</v>
      </c>
      <c r="O75" t="s">
        <v>8</v>
      </c>
      <c r="P75" t="s">
        <v>8</v>
      </c>
    </row>
    <row r="76" spans="1:21" x14ac:dyDescent="0.25">
      <c r="A76" s="494" t="s">
        <v>479</v>
      </c>
      <c r="B76" s="494"/>
      <c r="C76" s="388">
        <f>IF(C69=H69,MATCH(C69,$O$69:$O$77,0),0)</f>
        <v>5</v>
      </c>
      <c r="D76" s="388"/>
      <c r="E76" s="388">
        <f>IF(E69=J69,MATCH(E69,$O$69:$O$77,0),0)</f>
        <v>5</v>
      </c>
      <c r="F76" s="388"/>
      <c r="G76" s="388">
        <f>IF(G69=D69,MATCH(G69,$O$69:$O$77,0),0)</f>
        <v>5</v>
      </c>
      <c r="H76" s="388"/>
      <c r="I76" s="388">
        <f>IF(I69=F69,MATCH(I69,$O$69:$O$77,0),0)</f>
        <v>5</v>
      </c>
      <c r="J76" s="388"/>
      <c r="K76" s="388"/>
      <c r="L76" s="388"/>
      <c r="M76" s="388"/>
      <c r="N76" s="388"/>
      <c r="O76" t="s">
        <v>13</v>
      </c>
      <c r="P76" t="s">
        <v>13</v>
      </c>
    </row>
    <row r="77" spans="1:21" x14ac:dyDescent="0.25">
      <c r="A77" s="494"/>
      <c r="B77" s="494"/>
      <c r="C77" s="388">
        <f>IF(C69=H69,INDEX(P69:P77,C76),C69)</f>
        <v>0</v>
      </c>
      <c r="D77" s="388" t="str">
        <f>D69</f>
        <v>Not used</v>
      </c>
      <c r="E77" s="388">
        <f>IF(E69=J69,INDEX(P69:P77,E76),E69)</f>
        <v>0</v>
      </c>
      <c r="F77" s="388" t="str">
        <f>F69</f>
        <v>Not used</v>
      </c>
      <c r="G77" s="388">
        <f>IF(G69=D69,INDEX(P69:P77,G76),G69)</f>
        <v>0</v>
      </c>
      <c r="H77" s="388" t="str">
        <f>H69</f>
        <v>Not used</v>
      </c>
      <c r="I77" s="388">
        <f>IF(I69=F69,INDEX(P69:P77,I76),I69)</f>
        <v>0</v>
      </c>
      <c r="J77" s="388" t="str">
        <f>J69</f>
        <v>Not used</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zoomScaleNormal="100" workbookViewId="0">
      <selection activeCell="G15" sqref="G15"/>
    </sheetView>
  </sheetViews>
  <sheetFormatPr defaultRowHeight="12.75" x14ac:dyDescent="0.2"/>
  <cols>
    <col min="1" max="1" width="9.140625" style="399"/>
    <col min="2" max="2" width="9.140625" style="399" customWidth="1"/>
    <col min="3" max="3" width="4.7109375" style="399" customWidth="1"/>
    <col min="4" max="4" width="10.5703125" style="399" customWidth="1"/>
    <col min="5" max="5" width="9.140625" style="414"/>
    <col min="6" max="7" width="9.140625" style="399"/>
    <col min="8" max="8" width="11.5703125" style="399" bestFit="1" customWidth="1"/>
    <col min="9" max="9" width="10.5703125" style="399" bestFit="1" customWidth="1"/>
    <col min="10" max="12" width="9.140625" style="399"/>
    <col min="13" max="13" width="11.140625" style="399" customWidth="1"/>
    <col min="14" max="14" width="10.28515625" style="399" customWidth="1"/>
    <col min="15" max="15" width="11.5703125" style="399" customWidth="1"/>
    <col min="16" max="16" width="9.85546875" style="399" bestFit="1" customWidth="1"/>
    <col min="17" max="17" width="4.7109375" style="399" customWidth="1"/>
    <col min="18" max="18" width="9.140625" style="399"/>
    <col min="19" max="20" width="9.140625" style="399" customWidth="1"/>
    <col min="21" max="21" width="13.5703125" style="399" customWidth="1"/>
    <col min="22" max="23" width="9.140625" style="399" customWidth="1"/>
    <col min="24" max="26" width="9.140625" style="481" hidden="1" customWidth="1"/>
    <col min="27" max="16384" width="9.140625" style="399"/>
  </cols>
  <sheetData>
    <row r="1" spans="1:26" ht="15" customHeight="1" thickBot="1" x14ac:dyDescent="0.25">
      <c r="A1" s="458" t="s">
        <v>501</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25">
      <c r="A2" s="460" t="s">
        <v>502</v>
      </c>
      <c r="B2" s="461">
        <v>12.5</v>
      </c>
      <c r="C2" s="454"/>
      <c r="D2" s="454"/>
      <c r="E2" s="455"/>
      <c r="F2" s="400"/>
      <c r="G2" s="414"/>
      <c r="H2" s="414" t="s">
        <v>245</v>
      </c>
      <c r="I2" s="426" t="s">
        <v>540</v>
      </c>
      <c r="J2" s="427"/>
      <c r="K2" s="428"/>
      <c r="L2" s="414" t="s">
        <v>531</v>
      </c>
      <c r="M2" s="440">
        <v>0</v>
      </c>
      <c r="N2" s="414" t="s">
        <v>532</v>
      </c>
      <c r="O2" s="414"/>
      <c r="P2" s="414"/>
      <c r="Q2" s="414"/>
      <c r="R2" s="414"/>
      <c r="S2" s="414"/>
      <c r="T2" s="432">
        <f>IF(OR(Sheet1!O29&gt;0,D16="Yes"),1,0)</f>
        <v>0</v>
      </c>
      <c r="U2" s="432">
        <f>IF(OR(Sheet1!E29&gt;0,M22="Yes"),1,0)</f>
        <v>0</v>
      </c>
      <c r="V2" s="432">
        <f>IF(OR(Sheet1!T29&gt;0,P16="Yes"),1,0)</f>
        <v>0</v>
      </c>
      <c r="W2" s="432">
        <f>IF(OR(Sheet1!J29&gt;0,L5="Yes"),1,0)</f>
        <v>0</v>
      </c>
    </row>
    <row r="3" spans="1:26" ht="13.5" thickBot="1" x14ac:dyDescent="0.25">
      <c r="A3" s="460" t="s">
        <v>503</v>
      </c>
      <c r="B3" s="461">
        <v>31.5</v>
      </c>
      <c r="C3" s="454"/>
      <c r="D3" s="454"/>
      <c r="E3" s="455"/>
      <c r="F3" s="400"/>
      <c r="G3" s="414"/>
      <c r="H3" s="414"/>
      <c r="I3" s="414"/>
      <c r="J3" s="414"/>
      <c r="K3" s="414"/>
      <c r="L3" s="414"/>
      <c r="M3" s="414"/>
      <c r="N3" s="414"/>
      <c r="O3" s="414"/>
      <c r="P3" s="414"/>
      <c r="Q3" s="414"/>
      <c r="R3" s="414"/>
      <c r="S3" s="414"/>
      <c r="U3" s="401" t="s">
        <v>236</v>
      </c>
      <c r="V3" s="402">
        <v>1900</v>
      </c>
    </row>
    <row r="4" spans="1:26" ht="13.5" thickBot="1" x14ac:dyDescent="0.25">
      <c r="A4" s="462" t="s">
        <v>504</v>
      </c>
      <c r="B4" s="463">
        <v>8</v>
      </c>
      <c r="C4" s="454"/>
      <c r="D4" s="454"/>
      <c r="E4" s="455"/>
      <c r="F4" s="400"/>
      <c r="G4" s="414"/>
      <c r="H4" s="414"/>
      <c r="I4" s="414" t="s">
        <v>231</v>
      </c>
      <c r="J4" s="405">
        <v>30</v>
      </c>
      <c r="K4" s="414"/>
      <c r="L4" s="414" t="s">
        <v>526</v>
      </c>
      <c r="M4" s="414"/>
      <c r="N4" s="414"/>
      <c r="O4" s="414"/>
      <c r="P4" s="414"/>
      <c r="Q4" s="414"/>
      <c r="R4" s="414"/>
      <c r="S4" s="414"/>
      <c r="U4" s="403" t="s">
        <v>234</v>
      </c>
      <c r="V4" s="404">
        <v>1</v>
      </c>
    </row>
    <row r="5" spans="1:26" ht="13.5" thickBot="1" x14ac:dyDescent="0.25">
      <c r="A5" s="454"/>
      <c r="B5" s="454"/>
      <c r="C5" s="454"/>
      <c r="D5" s="454"/>
      <c r="E5" s="455"/>
      <c r="F5" s="400"/>
      <c r="G5" s="414"/>
      <c r="H5" s="414"/>
      <c r="I5" s="414"/>
      <c r="J5" s="414"/>
      <c r="K5" s="414"/>
      <c r="L5" s="406" t="s">
        <v>300</v>
      </c>
      <c r="M5" s="439" t="s">
        <v>487</v>
      </c>
      <c r="N5" s="439" t="s">
        <v>488</v>
      </c>
      <c r="O5" s="414"/>
      <c r="P5" s="414"/>
      <c r="Q5" s="414"/>
      <c r="R5" s="404"/>
      <c r="S5" s="414"/>
      <c r="U5" s="401" t="s">
        <v>235</v>
      </c>
      <c r="V5" s="402">
        <f>B4</f>
        <v>8</v>
      </c>
      <c r="X5" s="482"/>
      <c r="Y5" s="482"/>
    </row>
    <row r="6" spans="1:26" ht="15" customHeight="1" x14ac:dyDescent="0.2">
      <c r="A6" s="454"/>
      <c r="B6" s="454"/>
      <c r="C6" s="454"/>
      <c r="D6" s="454"/>
      <c r="E6" s="455"/>
      <c r="F6" s="400"/>
      <c r="G6" s="414" t="s">
        <v>228</v>
      </c>
      <c r="H6" s="409" t="s">
        <v>370</v>
      </c>
      <c r="I6" s="410">
        <v>1</v>
      </c>
      <c r="J6" s="410">
        <v>2</v>
      </c>
      <c r="K6" s="410">
        <v>1</v>
      </c>
      <c r="L6" s="414"/>
      <c r="M6" s="440">
        <v>49</v>
      </c>
      <c r="N6" s="440">
        <v>4</v>
      </c>
      <c r="O6" s="414"/>
      <c r="P6" s="414"/>
      <c r="Q6" s="414"/>
      <c r="R6" s="414"/>
      <c r="S6" s="414"/>
      <c r="U6" s="403" t="s">
        <v>417</v>
      </c>
      <c r="V6" s="407">
        <v>4</v>
      </c>
      <c r="W6" s="408"/>
    </row>
    <row r="7" spans="1:26" ht="13.5" customHeight="1" thickBot="1" x14ac:dyDescent="0.25">
      <c r="A7" s="454"/>
      <c r="B7" s="454"/>
      <c r="C7" s="454"/>
      <c r="D7" s="454"/>
      <c r="E7" s="455"/>
      <c r="F7" s="400"/>
      <c r="G7" s="414" t="s">
        <v>53</v>
      </c>
      <c r="H7" s="409">
        <v>10</v>
      </c>
      <c r="I7" s="413">
        <v>100</v>
      </c>
      <c r="J7" s="413">
        <v>850</v>
      </c>
      <c r="K7" s="413">
        <v>100</v>
      </c>
      <c r="L7" s="504" t="str">
        <f>IF($B$21="Yes","SB LT Treatment","")</f>
        <v/>
      </c>
      <c r="M7" s="504"/>
      <c r="N7" s="414"/>
      <c r="O7" s="414"/>
      <c r="P7" s="414"/>
      <c r="Q7" s="414"/>
      <c r="R7" s="414"/>
      <c r="S7" s="414"/>
      <c r="U7" s="411" t="s">
        <v>481</v>
      </c>
      <c r="V7" s="412" t="s">
        <v>419</v>
      </c>
      <c r="W7" s="433">
        <f>IF(V7="CBD",0.9,1)</f>
        <v>1</v>
      </c>
      <c r="X7" s="483"/>
      <c r="Y7" s="483"/>
    </row>
    <row r="8" spans="1:26" ht="13.5" thickBot="1" x14ac:dyDescent="0.25">
      <c r="A8" s="454"/>
      <c r="B8" s="454"/>
      <c r="C8" s="454"/>
      <c r="D8" s="454"/>
      <c r="F8" s="504" t="str">
        <f>IF($B$21="Yes","EB LT Treatment","")</f>
        <v/>
      </c>
      <c r="G8" s="504"/>
      <c r="H8" s="414"/>
      <c r="I8" s="414"/>
      <c r="J8" s="414"/>
      <c r="K8" s="414"/>
      <c r="L8" s="505"/>
      <c r="M8" s="506"/>
      <c r="N8" s="414"/>
      <c r="O8" s="414"/>
      <c r="P8" s="414"/>
      <c r="Q8" s="414"/>
      <c r="R8" s="414"/>
      <c r="S8" s="414"/>
      <c r="U8" s="403" t="s">
        <v>420</v>
      </c>
      <c r="V8" s="415">
        <v>40</v>
      </c>
    </row>
    <row r="9" spans="1:26" ht="13.5" thickBot="1" x14ac:dyDescent="0.25">
      <c r="A9" s="454"/>
      <c r="B9" s="454"/>
      <c r="C9" s="454"/>
      <c r="D9" s="454"/>
      <c r="F9" s="505"/>
      <c r="G9" s="506"/>
      <c r="H9" s="414"/>
      <c r="I9" s="414"/>
      <c r="J9" s="414"/>
      <c r="K9" s="414"/>
      <c r="L9" s="432">
        <f>IF(L8="",0,VLOOKUP(L8,$Y$12:$Z$14,2,FALSE))</f>
        <v>0</v>
      </c>
      <c r="M9" s="418"/>
      <c r="N9" s="414"/>
      <c r="O9" s="419"/>
      <c r="P9" s="420"/>
      <c r="Q9" s="414"/>
      <c r="R9" s="414"/>
      <c r="S9" s="414"/>
      <c r="U9" s="416" t="s">
        <v>421</v>
      </c>
      <c r="V9" s="417">
        <v>150</v>
      </c>
    </row>
    <row r="10" spans="1:26" x14ac:dyDescent="0.2">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538</v>
      </c>
      <c r="V10" s="399">
        <v>3.5</v>
      </c>
      <c r="X10" s="481" t="s">
        <v>486</v>
      </c>
      <c r="Y10" s="481" t="s">
        <v>300</v>
      </c>
    </row>
    <row r="11" spans="1:26" x14ac:dyDescent="0.2">
      <c r="A11" s="414"/>
      <c r="B11" s="414"/>
      <c r="C11" s="414"/>
      <c r="D11" s="414"/>
      <c r="F11" s="414" t="s">
        <v>228</v>
      </c>
      <c r="G11" s="414" t="s">
        <v>53</v>
      </c>
      <c r="H11" s="414"/>
      <c r="I11" s="414"/>
      <c r="J11" s="414"/>
      <c r="K11" s="414"/>
      <c r="L11" s="414"/>
      <c r="M11" s="409" t="s">
        <v>370</v>
      </c>
      <c r="N11" s="409">
        <v>10</v>
      </c>
      <c r="O11" s="414"/>
      <c r="P11" s="414"/>
      <c r="Q11" s="414"/>
      <c r="R11" s="414"/>
      <c r="S11" s="414"/>
    </row>
    <row r="12" spans="1:26" ht="13.5" thickBot="1" x14ac:dyDescent="0.25">
      <c r="A12" s="429" t="s">
        <v>245</v>
      </c>
      <c r="B12" s="429"/>
      <c r="C12" s="414"/>
      <c r="D12" s="414" t="s">
        <v>229</v>
      </c>
      <c r="F12" s="410">
        <v>2</v>
      </c>
      <c r="G12" s="413">
        <v>200</v>
      </c>
      <c r="H12" s="414"/>
      <c r="I12" s="414"/>
      <c r="J12" s="414"/>
      <c r="K12" s="414"/>
      <c r="L12" s="414"/>
      <c r="M12" s="413">
        <v>120</v>
      </c>
      <c r="N12" s="410">
        <v>1</v>
      </c>
      <c r="O12" s="414"/>
      <c r="P12" s="414" t="s">
        <v>230</v>
      </c>
      <c r="Q12" s="414"/>
      <c r="R12" s="429" t="s">
        <v>245</v>
      </c>
      <c r="S12" s="429"/>
      <c r="V12" s="332"/>
      <c r="Y12" s="484" t="s">
        <v>82</v>
      </c>
      <c r="Z12" s="481">
        <v>1</v>
      </c>
    </row>
    <row r="13" spans="1:26" ht="13.5" thickBot="1" x14ac:dyDescent="0.25">
      <c r="A13" s="426" t="s">
        <v>541</v>
      </c>
      <c r="B13" s="428"/>
      <c r="C13" s="414"/>
      <c r="D13" s="405">
        <v>40</v>
      </c>
      <c r="F13" s="418"/>
      <c r="G13" s="418"/>
      <c r="H13" s="414"/>
      <c r="I13" s="414"/>
      <c r="J13" s="414"/>
      <c r="K13" s="414"/>
      <c r="L13" s="414"/>
      <c r="M13" s="418"/>
      <c r="N13" s="418"/>
      <c r="O13" s="414"/>
      <c r="P13" s="405">
        <v>40</v>
      </c>
      <c r="Q13" s="414"/>
      <c r="R13" s="426" t="s">
        <v>541</v>
      </c>
      <c r="S13" s="428"/>
      <c r="Y13" s="332" t="s">
        <v>83</v>
      </c>
      <c r="Z13" s="481">
        <v>2</v>
      </c>
    </row>
    <row r="14" spans="1:26" x14ac:dyDescent="0.2">
      <c r="A14" s="414" t="s">
        <v>531</v>
      </c>
      <c r="B14" s="414"/>
      <c r="C14" s="414"/>
      <c r="D14" s="414"/>
      <c r="F14" s="410">
        <v>3</v>
      </c>
      <c r="G14" s="413">
        <v>1950</v>
      </c>
      <c r="H14" s="414"/>
      <c r="I14" s="414"/>
      <c r="J14" s="414" t="str">
        <f>I2&amp;" &amp; "&amp;A13</f>
        <v>Minor &amp; Major</v>
      </c>
      <c r="K14" s="414"/>
      <c r="L14" s="414"/>
      <c r="M14" s="413">
        <v>2200</v>
      </c>
      <c r="N14" s="410">
        <v>3</v>
      </c>
      <c r="O14" s="414"/>
      <c r="P14" s="414"/>
      <c r="Q14" s="414"/>
      <c r="R14" s="414" t="s">
        <v>531</v>
      </c>
      <c r="S14" s="414"/>
      <c r="V14" s="332"/>
      <c r="Y14" s="332" t="s">
        <v>539</v>
      </c>
      <c r="Z14" s="481">
        <v>3</v>
      </c>
    </row>
    <row r="15" spans="1:26" ht="13.5" thickBot="1" x14ac:dyDescent="0.25">
      <c r="A15" s="440">
        <v>10</v>
      </c>
      <c r="B15" s="414" t="s">
        <v>532</v>
      </c>
      <c r="C15" s="414"/>
      <c r="D15" s="414" t="s">
        <v>527</v>
      </c>
      <c r="F15" s="418"/>
      <c r="G15" s="418"/>
      <c r="H15" s="414"/>
      <c r="I15" s="414"/>
      <c r="J15" s="414"/>
      <c r="K15" s="414"/>
      <c r="L15" s="414"/>
      <c r="M15" s="418"/>
      <c r="N15" s="418"/>
      <c r="O15" s="414"/>
      <c r="P15" s="414" t="s">
        <v>528</v>
      </c>
      <c r="Q15" s="414"/>
      <c r="R15" s="440">
        <v>10</v>
      </c>
      <c r="S15" s="414"/>
    </row>
    <row r="16" spans="1:26" ht="13.5" thickBot="1" x14ac:dyDescent="0.25">
      <c r="A16" s="414"/>
      <c r="B16" s="414"/>
      <c r="C16" s="414"/>
      <c r="D16" s="406" t="s">
        <v>300</v>
      </c>
      <c r="F16" s="410">
        <v>1</v>
      </c>
      <c r="G16" s="413">
        <v>100</v>
      </c>
      <c r="H16" s="414"/>
      <c r="I16" s="414"/>
      <c r="J16" s="414"/>
      <c r="K16" s="414"/>
      <c r="L16" s="414"/>
      <c r="M16" s="413">
        <v>250</v>
      </c>
      <c r="N16" s="410">
        <v>2</v>
      </c>
      <c r="O16" s="414"/>
      <c r="P16" s="406" t="s">
        <v>300</v>
      </c>
      <c r="Q16" s="414"/>
      <c r="R16" s="414" t="s">
        <v>532</v>
      </c>
      <c r="S16" s="414"/>
    </row>
    <row r="17" spans="1:24" x14ac:dyDescent="0.2">
      <c r="A17" s="414"/>
      <c r="B17" s="414"/>
      <c r="C17" s="414"/>
      <c r="D17" s="439" t="s">
        <v>487</v>
      </c>
      <c r="E17" s="440">
        <v>88</v>
      </c>
      <c r="F17" s="409" t="s">
        <v>370</v>
      </c>
      <c r="G17" s="409">
        <v>10</v>
      </c>
      <c r="H17" s="414"/>
      <c r="I17" s="414"/>
      <c r="J17" s="414"/>
      <c r="K17" s="414"/>
      <c r="L17" s="414"/>
      <c r="M17" s="414"/>
      <c r="N17" s="414"/>
      <c r="O17" s="414"/>
      <c r="P17" s="439" t="s">
        <v>487</v>
      </c>
      <c r="Q17" s="440">
        <v>30</v>
      </c>
      <c r="R17" s="414"/>
      <c r="S17" s="414"/>
      <c r="U17" s="432" t="s">
        <v>418</v>
      </c>
      <c r="X17" s="481" t="s">
        <v>418</v>
      </c>
    </row>
    <row r="18" spans="1:24" ht="13.5" thickBot="1" x14ac:dyDescent="0.25">
      <c r="A18" s="414"/>
      <c r="B18" s="414"/>
      <c r="C18" s="414"/>
      <c r="D18" s="439" t="s">
        <v>488</v>
      </c>
      <c r="E18" s="440">
        <v>10</v>
      </c>
      <c r="F18" s="414"/>
      <c r="G18" s="414"/>
      <c r="H18" s="414"/>
      <c r="I18" s="414"/>
      <c r="J18" s="414"/>
      <c r="K18" s="414"/>
      <c r="L18" s="414"/>
      <c r="M18" s="504" t="str">
        <f>IF($B$21="Yes","WB LT Treatment","")</f>
        <v/>
      </c>
      <c r="N18" s="504"/>
      <c r="O18" s="414"/>
      <c r="P18" s="439" t="s">
        <v>488</v>
      </c>
      <c r="Q18" s="440">
        <v>4</v>
      </c>
      <c r="R18" s="414"/>
      <c r="S18" s="414"/>
      <c r="U18" s="432" t="s">
        <v>419</v>
      </c>
      <c r="X18" s="481" t="s">
        <v>419</v>
      </c>
    </row>
    <row r="19" spans="1:24" ht="13.5" thickBot="1" x14ac:dyDescent="0.25">
      <c r="A19" s="414"/>
      <c r="B19" s="414"/>
      <c r="C19" s="414"/>
      <c r="D19" s="414"/>
      <c r="F19" s="414"/>
      <c r="G19" s="414"/>
      <c r="H19" s="414"/>
      <c r="I19" s="414"/>
      <c r="J19" s="414"/>
      <c r="K19" s="414"/>
      <c r="L19" s="414"/>
      <c r="M19" s="505"/>
      <c r="N19" s="506"/>
      <c r="O19" s="414"/>
      <c r="P19" s="414"/>
      <c r="Q19" s="414"/>
      <c r="R19" s="414"/>
      <c r="S19" s="414"/>
    </row>
    <row r="20" spans="1:24" ht="13.5" thickBot="1" x14ac:dyDescent="0.25">
      <c r="A20" s="414"/>
      <c r="B20" s="430" t="s">
        <v>529</v>
      </c>
      <c r="C20" s="431"/>
      <c r="D20" s="431"/>
      <c r="E20" s="456"/>
      <c r="F20" s="414"/>
      <c r="G20" s="414"/>
      <c r="H20" s="414"/>
      <c r="I20" s="414"/>
      <c r="J20" s="414"/>
      <c r="K20" s="414"/>
      <c r="L20" s="414"/>
      <c r="M20" s="432">
        <f>IF(M19="",0,VLOOKUP(M19,$Y$12:$Z$14,2,FALSE))</f>
        <v>0</v>
      </c>
      <c r="N20" s="414"/>
      <c r="O20" s="421"/>
      <c r="P20" s="421"/>
      <c r="Q20" s="414"/>
      <c r="R20" s="414"/>
      <c r="S20" s="414"/>
    </row>
    <row r="21" spans="1:24" ht="13.5" thickBot="1" x14ac:dyDescent="0.25">
      <c r="A21" s="414"/>
      <c r="B21" s="487" t="s">
        <v>300</v>
      </c>
      <c r="C21" s="485"/>
      <c r="D21" s="485"/>
      <c r="E21" s="486"/>
      <c r="F21" s="414"/>
      <c r="G21" s="414"/>
      <c r="H21" s="414" t="s">
        <v>53</v>
      </c>
      <c r="I21" s="413">
        <v>75</v>
      </c>
      <c r="J21" s="413">
        <v>650</v>
      </c>
      <c r="K21" s="413">
        <v>60</v>
      </c>
      <c r="L21" s="409" t="s">
        <v>370</v>
      </c>
      <c r="M21" s="414" t="s">
        <v>530</v>
      </c>
      <c r="O21" s="440">
        <v>59</v>
      </c>
      <c r="P21" s="441">
        <v>1</v>
      </c>
      <c r="Q21" s="414"/>
      <c r="R21" s="414"/>
      <c r="S21" s="414"/>
    </row>
    <row r="22" spans="1:24" ht="13.5" thickBot="1" x14ac:dyDescent="0.25">
      <c r="A22" s="414"/>
      <c r="B22" s="414"/>
      <c r="C22" s="414"/>
      <c r="D22" s="414"/>
      <c r="F22" s="414"/>
      <c r="G22" s="414"/>
      <c r="H22" s="414" t="s">
        <v>228</v>
      </c>
      <c r="I22" s="410">
        <v>1</v>
      </c>
      <c r="J22" s="410">
        <v>2</v>
      </c>
      <c r="K22" s="410">
        <v>1</v>
      </c>
      <c r="L22" s="409">
        <v>10</v>
      </c>
      <c r="M22" s="406" t="s">
        <v>300</v>
      </c>
      <c r="O22" s="439" t="s">
        <v>487</v>
      </c>
      <c r="P22" s="439" t="s">
        <v>488</v>
      </c>
      <c r="Q22" s="414"/>
      <c r="R22" s="414"/>
      <c r="S22" s="414"/>
    </row>
    <row r="23" spans="1:24" ht="13.5" thickBot="1" x14ac:dyDescent="0.25">
      <c r="A23" s="414"/>
      <c r="B23" s="414"/>
      <c r="C23" s="414"/>
      <c r="D23" s="414"/>
      <c r="F23" s="504" t="str">
        <f>IF($B$21="Yes","NB LT Treatment","")</f>
        <v/>
      </c>
      <c r="G23" s="504"/>
      <c r="H23" s="414"/>
      <c r="I23" s="414"/>
      <c r="J23" s="414"/>
      <c r="K23" s="414"/>
      <c r="L23" s="414"/>
      <c r="M23" s="414"/>
      <c r="N23" s="414"/>
      <c r="O23" s="422"/>
      <c r="P23" s="422"/>
      <c r="Q23" s="414"/>
      <c r="R23" s="414"/>
      <c r="S23" s="414"/>
    </row>
    <row r="24" spans="1:24" ht="13.5" thickBot="1" x14ac:dyDescent="0.25">
      <c r="A24" s="414"/>
      <c r="B24" s="414"/>
      <c r="C24" s="414"/>
      <c r="D24" s="414"/>
      <c r="F24" s="505"/>
      <c r="G24" s="506"/>
      <c r="H24" s="414"/>
      <c r="I24" s="414" t="s">
        <v>232</v>
      </c>
      <c r="J24" s="405">
        <v>30</v>
      </c>
      <c r="K24" s="414"/>
      <c r="L24" s="414"/>
      <c r="M24" s="414"/>
      <c r="N24" s="414"/>
      <c r="O24" s="422"/>
      <c r="P24" s="422"/>
      <c r="Q24" s="414"/>
      <c r="R24" s="414"/>
      <c r="S24" s="414"/>
    </row>
    <row r="25" spans="1:24" ht="13.5" thickBot="1" x14ac:dyDescent="0.25">
      <c r="A25" s="414"/>
      <c r="B25" s="414"/>
      <c r="C25" s="414"/>
      <c r="D25" s="414"/>
      <c r="F25" s="432">
        <f>IF(F24="",0,VLOOKUP(F24,$Y$12:$Z$14,2,FALSE))</f>
        <v>0</v>
      </c>
      <c r="G25" s="414"/>
      <c r="H25" s="414"/>
      <c r="I25" s="414"/>
      <c r="J25" s="414"/>
      <c r="K25" s="414"/>
      <c r="L25" s="414"/>
      <c r="M25" s="414"/>
      <c r="N25" s="414"/>
      <c r="O25" s="422"/>
      <c r="P25" s="422"/>
      <c r="Q25" s="414"/>
      <c r="R25" s="414"/>
      <c r="S25" s="414"/>
    </row>
    <row r="26" spans="1:24" ht="13.5" thickBot="1" x14ac:dyDescent="0.25">
      <c r="A26" s="414"/>
      <c r="B26" s="414"/>
      <c r="C26" s="414"/>
      <c r="D26" s="414"/>
      <c r="F26" s="414"/>
      <c r="G26" s="414"/>
      <c r="H26" s="414" t="s">
        <v>245</v>
      </c>
      <c r="I26" s="426" t="s">
        <v>540</v>
      </c>
      <c r="J26" s="427"/>
      <c r="K26" s="428"/>
      <c r="L26" s="414" t="s">
        <v>531</v>
      </c>
      <c r="M26" s="440">
        <v>0</v>
      </c>
      <c r="N26" s="414" t="s">
        <v>532</v>
      </c>
      <c r="O26" s="422"/>
      <c r="P26" s="422"/>
      <c r="Q26" s="414"/>
      <c r="R26" s="414"/>
      <c r="S26" s="414"/>
    </row>
    <row r="27" spans="1:24" x14ac:dyDescent="0.2">
      <c r="O27" s="421"/>
      <c r="P27" s="421"/>
    </row>
    <row r="28" spans="1:24" x14ac:dyDescent="0.2">
      <c r="J28" s="399" t="str">
        <f>IF(AND(I2="",A13=""),"",I2&amp;" &amp; "&amp;A13)</f>
        <v>Minor &amp; Major</v>
      </c>
    </row>
    <row r="30" spans="1:24" ht="15" x14ac:dyDescent="0.25">
      <c r="A30" s="502" t="s">
        <v>203</v>
      </c>
      <c r="B30" s="502"/>
      <c r="C30" s="502"/>
      <c r="D30" s="502"/>
      <c r="E30" s="502"/>
      <c r="F30" s="502"/>
      <c r="G30" s="502"/>
      <c r="H30" s="502"/>
    </row>
    <row r="31" spans="1:24" ht="15" x14ac:dyDescent="0.25">
      <c r="A31" s="503" t="s">
        <v>542</v>
      </c>
      <c r="B31" s="503"/>
      <c r="C31" s="503"/>
      <c r="D31" s="503"/>
      <c r="E31" s="503"/>
      <c r="F31" s="503"/>
      <c r="G31" s="503"/>
      <c r="H31" s="503"/>
    </row>
    <row r="32" spans="1:24" ht="15" x14ac:dyDescent="0.25">
      <c r="A32" s="423" t="s">
        <v>569</v>
      </c>
      <c r="B32" s="423"/>
      <c r="C32" s="423"/>
      <c r="D32" s="423"/>
      <c r="E32" s="457"/>
      <c r="F32" s="423"/>
      <c r="G32" s="423"/>
      <c r="H32" s="424"/>
    </row>
    <row r="33" spans="1:8" ht="15" x14ac:dyDescent="0.25">
      <c r="A33" s="11"/>
      <c r="B33" s="425"/>
      <c r="C33" s="425"/>
      <c r="D33" s="425"/>
      <c r="E33" s="425"/>
      <c r="F33" s="425"/>
      <c r="G33" s="425"/>
      <c r="H33" s="11"/>
    </row>
    <row r="34" spans="1:8" ht="12.75" customHeight="1" x14ac:dyDescent="0.2">
      <c r="A34" s="501" t="s">
        <v>568</v>
      </c>
      <c r="B34" s="501"/>
      <c r="C34" s="501"/>
      <c r="D34" s="501"/>
      <c r="E34" s="501"/>
      <c r="F34" s="501"/>
      <c r="G34" s="501"/>
      <c r="H34" s="501"/>
    </row>
    <row r="35" spans="1:8" ht="12.75" customHeight="1" x14ac:dyDescent="0.2">
      <c r="A35" s="501"/>
      <c r="B35" s="501"/>
      <c r="C35" s="501"/>
      <c r="D35" s="501"/>
      <c r="E35" s="501"/>
      <c r="F35" s="501"/>
      <c r="G35" s="501"/>
      <c r="H35" s="501"/>
    </row>
    <row r="36" spans="1:8" ht="12.75" customHeight="1" x14ac:dyDescent="0.2">
      <c r="A36" s="501"/>
      <c r="B36" s="501"/>
      <c r="C36" s="501"/>
      <c r="D36" s="501"/>
      <c r="E36" s="501"/>
      <c r="F36" s="501"/>
      <c r="G36" s="501"/>
      <c r="H36" s="501"/>
    </row>
    <row r="37" spans="1:8" ht="12.75" customHeight="1" x14ac:dyDescent="0.2">
      <c r="A37" s="501"/>
      <c r="B37" s="501"/>
      <c r="C37" s="501"/>
      <c r="D37" s="501"/>
      <c r="E37" s="501"/>
      <c r="F37" s="501"/>
      <c r="G37" s="501"/>
      <c r="H37" s="501"/>
    </row>
    <row r="38" spans="1:8" ht="12.75" customHeight="1" x14ac:dyDescent="0.2">
      <c r="A38" s="501"/>
      <c r="B38" s="501"/>
      <c r="C38" s="501"/>
      <c r="D38" s="501"/>
      <c r="E38" s="501"/>
      <c r="F38" s="501"/>
      <c r="G38" s="501"/>
      <c r="H38" s="501"/>
    </row>
    <row r="39" spans="1:8" ht="12.75" customHeight="1" x14ac:dyDescent="0.2">
      <c r="A39" s="501"/>
      <c r="B39" s="501"/>
      <c r="C39" s="501"/>
      <c r="D39" s="501"/>
      <c r="E39" s="501"/>
      <c r="F39" s="501"/>
      <c r="G39" s="501"/>
      <c r="H39" s="501"/>
    </row>
    <row r="40" spans="1:8" ht="12.75" customHeight="1" x14ac:dyDescent="0.2">
      <c r="A40" s="501"/>
      <c r="B40" s="501"/>
      <c r="C40" s="501"/>
      <c r="D40" s="501"/>
      <c r="E40" s="501"/>
      <c r="F40" s="501"/>
      <c r="G40" s="501"/>
      <c r="H40" s="501"/>
    </row>
    <row r="41" spans="1:8" ht="12.75" customHeight="1" x14ac:dyDescent="0.2">
      <c r="A41" s="501"/>
      <c r="B41" s="501"/>
      <c r="C41" s="501"/>
      <c r="D41" s="501"/>
      <c r="E41" s="501"/>
      <c r="F41" s="501"/>
      <c r="G41" s="501"/>
      <c r="H41" s="501"/>
    </row>
    <row r="42" spans="1:8" ht="12.75" customHeight="1" x14ac:dyDescent="0.2">
      <c r="A42" s="501"/>
      <c r="B42" s="501"/>
      <c r="C42" s="501"/>
      <c r="D42" s="501"/>
      <c r="E42" s="501"/>
      <c r="F42" s="501"/>
      <c r="G42" s="501"/>
      <c r="H42" s="501"/>
    </row>
    <row r="43" spans="1:8" x14ac:dyDescent="0.2">
      <c r="A43" s="501"/>
      <c r="B43" s="501"/>
      <c r="C43" s="501"/>
      <c r="D43" s="501"/>
      <c r="E43" s="501"/>
      <c r="F43" s="501"/>
      <c r="G43" s="501"/>
      <c r="H43" s="501"/>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2" priority="23" stopIfTrue="1" operator="containsText" text="CS/RS">
      <formula>NOT(ISERROR(SEARCH("CS/RS",P9)))</formula>
    </cfRule>
    <cfRule type="containsText" dxfId="41" priority="24" stopIfTrue="1" operator="containsText" text="Webster">
      <formula>NOT(ISERROR(SEARCH("Webster",P9)))</formula>
    </cfRule>
  </conditionalFormatting>
  <conditionalFormatting sqref="F8:G8 F23:G23 L7:M7 M18:N18">
    <cfRule type="containsText" dxfId="40" priority="22" stopIfTrue="1" operator="containsText" text="LT">
      <formula>NOT(ISERROR(SEARCH("LT",F7)))</formula>
    </cfRule>
  </conditionalFormatting>
  <conditionalFormatting sqref="F9:G9 F24:G24 M19:N19 L8:M8">
    <cfRule type="containsText" dxfId="39" priority="18" stopIfTrue="1" operator="containsText" text="P">
      <formula>NOT(ISERROR(SEARCH("P",F8)))</formula>
    </cfRule>
  </conditionalFormatting>
  <conditionalFormatting sqref="F8:G8">
    <cfRule type="containsText" dxfId="38" priority="12" stopIfTrue="1" operator="containsText" text="LT">
      <formula>NOT(ISERROR(SEARCH("LT",F8)))</formula>
    </cfRule>
  </conditionalFormatting>
  <conditionalFormatting sqref="L7:M7">
    <cfRule type="containsText" dxfId="37" priority="11" stopIfTrue="1" operator="containsText" text="LT">
      <formula>NOT(ISERROR(SEARCH("LT",L7)))</formula>
    </cfRule>
  </conditionalFormatting>
  <conditionalFormatting sqref="F23:G23">
    <cfRule type="containsText" dxfId="36" priority="10" stopIfTrue="1" operator="containsText" text="LT">
      <formula>NOT(ISERROR(SEARCH("LT",F23)))</formula>
    </cfRule>
  </conditionalFormatting>
  <conditionalFormatting sqref="M18:N18">
    <cfRule type="containsText" dxfId="35" priority="9" stopIfTrue="1" operator="containsText" text="LT">
      <formula>NOT(ISERROR(SEARCH("LT",M18)))</formula>
    </cfRule>
  </conditionalFormatting>
  <conditionalFormatting sqref="F9:G9">
    <cfRule type="containsText" dxfId="34" priority="8" stopIfTrue="1" operator="containsText" text="P">
      <formula>NOT(ISERROR(SEARCH("P",F9)))</formula>
    </cfRule>
  </conditionalFormatting>
  <conditionalFormatting sqref="F24:G24">
    <cfRule type="containsText" dxfId="33" priority="7" stopIfTrue="1" operator="containsText" text="P">
      <formula>NOT(ISERROR(SEARCH("P",F24)))</formula>
    </cfRule>
  </conditionalFormatting>
  <conditionalFormatting sqref="M19:N19">
    <cfRule type="containsText" dxfId="32" priority="6" stopIfTrue="1" operator="containsText" text="P">
      <formula>NOT(ISERROR(SEARCH("P",M19)))</formula>
    </cfRule>
  </conditionalFormatting>
  <conditionalFormatting sqref="L8:M8">
    <cfRule type="containsText" dxfId="31" priority="5" stopIfTrue="1" operator="containsText" text="P">
      <formula>NOT(ISERROR(SEARCH("P",L8)))</formula>
    </cfRule>
  </conditionalFormatting>
  <conditionalFormatting sqref="F24:G24">
    <cfRule type="containsText" dxfId="30" priority="4" stopIfTrue="1" operator="containsText" text="P">
      <formula>NOT(ISERROR(SEARCH("P",F24)))</formula>
    </cfRule>
  </conditionalFormatting>
  <conditionalFormatting sqref="M19:N19">
    <cfRule type="containsText" dxfId="29" priority="3" stopIfTrue="1" operator="containsText" text="P">
      <formula>NOT(ISERROR(SEARCH("P",M19)))</formula>
    </cfRule>
  </conditionalFormatting>
  <conditionalFormatting sqref="L8:M8">
    <cfRule type="containsText" dxfId="28" priority="2" stopIfTrue="1" operator="containsText" text="P">
      <formula>NOT(ISERROR(SEARCH("P",L8)))</formula>
    </cfRule>
  </conditionalFormatting>
  <conditionalFormatting sqref="L8:M8">
    <cfRule type="containsText" dxfId="27" priority="1" stopIfTrue="1" operator="containsText" text="P">
      <formula>NOT(ISERROR(SEARCH("P",L8)))</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RowHeight="15" x14ac:dyDescent="0.25"/>
  <cols>
    <col min="1" max="1" width="21" style="5" bestFit="1" customWidth="1"/>
    <col min="2" max="9" width="9.140625" style="5"/>
    <col min="10" max="11" width="9.7109375" style="5" hidden="1" customWidth="1"/>
    <col min="12" max="34" width="9.140625" style="5" hidden="1" customWidth="1"/>
    <col min="35" max="16384" width="9.140625" style="5"/>
  </cols>
  <sheetData>
    <row r="1" spans="1:27" x14ac:dyDescent="0.25">
      <c r="A1" s="510" t="s">
        <v>204</v>
      </c>
      <c r="B1" s="510"/>
      <c r="C1" s="510"/>
      <c r="L1" s="507" t="s">
        <v>75</v>
      </c>
      <c r="M1" s="507"/>
      <c r="N1" s="499" t="s">
        <v>115</v>
      </c>
      <c r="O1" s="507"/>
      <c r="Q1" t="s">
        <v>91</v>
      </c>
      <c r="R1" t="s">
        <v>92</v>
      </c>
      <c r="W1" t="s">
        <v>91</v>
      </c>
      <c r="X1" t="s">
        <v>92</v>
      </c>
    </row>
    <row r="2" spans="1:27" x14ac:dyDescent="0.25">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25">
      <c r="A3" s="5" t="s">
        <v>74</v>
      </c>
      <c r="B3" s="6">
        <f>Sheet1!N4</f>
        <v>200</v>
      </c>
      <c r="C3" s="6">
        <f>IF(Sheet1!P5=0,Sheet1!O4+Sheet1!P4,Sheet1!O4)</f>
        <v>1950</v>
      </c>
      <c r="D3" s="6">
        <f>IF(Sheet1!N4=Sheet1!S4, Sheet1!S4+1,Sheet1!S4)</f>
        <v>250</v>
      </c>
      <c r="E3" s="6">
        <f>IF(Sheet1!U5=0,Sheet1!T4+Sheet1!U4,Sheet1!T4)</f>
        <v>2200</v>
      </c>
      <c r="F3" s="6">
        <f>Sheet1!D4+Sheet1!W4+Sheet1!Z4</f>
        <v>75</v>
      </c>
      <c r="G3" s="6">
        <f>IF(Sheet1!F5=0,Sheet1!E4+Sheet1!F4+Sheet1!X4+Sheet1!AA4,Sheet1!E4+Sheet1!X4+Sheet1!AA4)</f>
        <v>650</v>
      </c>
      <c r="H3" s="6">
        <f>IF(Sheet1!D4+Sheet1!W4+Sheet1!Z4=Sheet1!I4+Sheet1!AC4+Sheet1!AF4,Sheet1!I4+Sheet1!AC4+Sheet1!AF4+1,Sheet1!I4+Sheet1!AC4+Sheet1!AF4)</f>
        <v>100</v>
      </c>
      <c r="I3" s="6">
        <f>IF(Sheet1!K5=0,Sheet1!J4+Sheet1!K4+Sheet1!AD4+Sheet1!AG4,Sheet1!J4+Sheet1!AD4+Sheet1!AG4)</f>
        <v>850</v>
      </c>
      <c r="L3" s="5" t="s">
        <v>14</v>
      </c>
      <c r="M3" s="5">
        <v>4</v>
      </c>
      <c r="N3" s="5" t="s">
        <v>14</v>
      </c>
      <c r="O3" s="5">
        <v>2</v>
      </c>
      <c r="Q3" s="5">
        <v>2</v>
      </c>
      <c r="R3" s="5">
        <v>90000</v>
      </c>
      <c r="W3" s="5">
        <v>2</v>
      </c>
      <c r="X3" s="5">
        <v>300000</v>
      </c>
    </row>
    <row r="4" spans="1:27" x14ac:dyDescent="0.25">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25">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25">
      <c r="A6" s="281" t="s">
        <v>79</v>
      </c>
      <c r="B6" s="253">
        <f>Sheet1!N5</f>
        <v>2</v>
      </c>
      <c r="C6" s="253">
        <f>Sheet1!O5</f>
        <v>3</v>
      </c>
      <c r="D6" s="253">
        <f>Sheet1!S5</f>
        <v>2</v>
      </c>
      <c r="E6" s="253">
        <f>Sheet1!T5</f>
        <v>3</v>
      </c>
      <c r="F6" s="253">
        <f>Sheet1!D5+Sheet1!W5+Sheet1!Z5</f>
        <v>1</v>
      </c>
      <c r="G6" s="253">
        <f>Sheet1!E5+Sheet1!X5+Sheet1!AA5</f>
        <v>2</v>
      </c>
      <c r="H6" s="253">
        <f>Sheet1!I5+Sheet1!AC5+Sheet1!AF5</f>
        <v>1</v>
      </c>
      <c r="I6" s="253">
        <f>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3</v>
      </c>
      <c r="S7" s="6">
        <f>C6</f>
        <v>3</v>
      </c>
      <c r="T7" s="6">
        <f>I6</f>
        <v>2</v>
      </c>
      <c r="U7" s="6">
        <f>G6</f>
        <v>2</v>
      </c>
      <c r="W7" s="5" t="s">
        <v>88</v>
      </c>
      <c r="X7" s="6">
        <f t="shared" ref="X7:AA8" si="0">R7</f>
        <v>3</v>
      </c>
      <c r="Y7" s="6">
        <f t="shared" si="0"/>
        <v>3</v>
      </c>
      <c r="Z7" s="6">
        <f t="shared" si="0"/>
        <v>2</v>
      </c>
      <c r="AA7" s="6">
        <f t="shared" si="0"/>
        <v>2</v>
      </c>
    </row>
    <row r="8" spans="1:27" x14ac:dyDescent="0.25">
      <c r="A8" s="282" t="s">
        <v>296</v>
      </c>
      <c r="B8" s="281"/>
      <c r="C8" s="253">
        <f>Phasing!P6</f>
        <v>40</v>
      </c>
      <c r="D8" s="253"/>
      <c r="E8" s="253">
        <f>Phasing!R6</f>
        <v>40</v>
      </c>
      <c r="F8" s="253"/>
      <c r="G8" s="253">
        <f>Phasing!T6</f>
        <v>30</v>
      </c>
      <c r="H8" s="253"/>
      <c r="I8" s="253">
        <f>Phasing!V6</f>
        <v>30</v>
      </c>
      <c r="L8" s="5" t="s">
        <v>8</v>
      </c>
      <c r="M8" s="5">
        <v>1</v>
      </c>
      <c r="N8" s="5" t="s">
        <v>8</v>
      </c>
      <c r="O8" s="5">
        <v>7</v>
      </c>
      <c r="Q8" s="5" t="s">
        <v>92</v>
      </c>
      <c r="R8" s="6">
        <f>B3*E3</f>
        <v>440000</v>
      </c>
      <c r="S8" s="6">
        <f>D3*C3</f>
        <v>487500</v>
      </c>
      <c r="T8" s="6">
        <f>F3*I3</f>
        <v>63750</v>
      </c>
      <c r="U8" s="6">
        <f>H3*G3</f>
        <v>65000</v>
      </c>
      <c r="W8" s="5" t="s">
        <v>92</v>
      </c>
      <c r="X8" s="6">
        <f t="shared" si="0"/>
        <v>440000</v>
      </c>
      <c r="Y8" s="6">
        <f t="shared" si="0"/>
        <v>487500</v>
      </c>
      <c r="Z8" s="6">
        <f t="shared" si="0"/>
        <v>63750</v>
      </c>
      <c r="AA8" s="6">
        <f t="shared" si="0"/>
        <v>65000</v>
      </c>
    </row>
    <row r="9" spans="1:27" x14ac:dyDescent="0.25">
      <c r="B9" s="81"/>
      <c r="C9" s="81"/>
      <c r="D9" s="81"/>
      <c r="E9" s="81"/>
      <c r="G9" s="509" t="s">
        <v>448</v>
      </c>
      <c r="H9" s="509"/>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25">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25">
      <c r="A11" s="5" t="s">
        <v>87</v>
      </c>
      <c r="B11" s="87">
        <f>IF(B6&gt;=2,1,0)</f>
        <v>1</v>
      </c>
      <c r="C11" s="87"/>
      <c r="D11" s="87">
        <f>IF(D6&gt;=2,1,0)</f>
        <v>1</v>
      </c>
      <c r="E11" s="87"/>
      <c r="F11" s="87">
        <f>IF(F6&gt;=2,1,0)</f>
        <v>0</v>
      </c>
      <c r="G11" s="87"/>
      <c r="H11" s="87">
        <f>IF(H6&gt;=2,1,0)</f>
        <v>0</v>
      </c>
      <c r="I11" s="515" t="s">
        <v>90</v>
      </c>
      <c r="L11" s="5" t="s">
        <v>15</v>
      </c>
      <c r="M11" s="5">
        <f>Sheet1!P4</f>
        <v>100</v>
      </c>
      <c r="N11" s="5">
        <v>1</v>
      </c>
      <c r="O11" t="s">
        <v>82</v>
      </c>
      <c r="Q11" s="6">
        <v>3</v>
      </c>
      <c r="R11" s="6">
        <f>IF(AND(R7=3,R8&gt;=110000),1,0)</f>
        <v>1</v>
      </c>
      <c r="S11" s="6">
        <f>IF(AND(S7=3,S8&gt;=110000),1,0)</f>
        <v>1</v>
      </c>
      <c r="T11" s="6">
        <f>IF(AND(T7=3,T8&gt;=110000),1,0)</f>
        <v>0</v>
      </c>
      <c r="U11" s="6">
        <f>IF(AND(U7=3,U8&gt;=110000),1,0)</f>
        <v>0</v>
      </c>
      <c r="W11" s="6">
        <v>3</v>
      </c>
      <c r="X11" s="6">
        <f>IF(AND(X7=3,X8&gt;=300000),1,0)</f>
        <v>1</v>
      </c>
      <c r="Y11" s="6">
        <f>IF(AND(Y7=3,Y8&gt;=300000),1,0)</f>
        <v>1</v>
      </c>
      <c r="Z11" s="6">
        <f>IF(AND(Z7=3,Z8&gt;=300000),1,0)</f>
        <v>0</v>
      </c>
      <c r="AA11" s="6">
        <f>IF(AND(AA7=3,AA8&gt;=300000),1,0)</f>
        <v>0</v>
      </c>
    </row>
    <row r="12" spans="1:27" x14ac:dyDescent="0.25">
      <c r="A12" s="281" t="s">
        <v>88</v>
      </c>
      <c r="B12" s="253">
        <f>IF(E6&gt;=4,1,0)</f>
        <v>0</v>
      </c>
      <c r="C12" s="253"/>
      <c r="D12" s="253">
        <f>IF(C6&gt;=4,1,0)</f>
        <v>0</v>
      </c>
      <c r="E12" s="253"/>
      <c r="F12" s="253">
        <f>IF(I6&gt;=4,1,0)</f>
        <v>0</v>
      </c>
      <c r="G12" s="253"/>
      <c r="H12" s="253">
        <f>IF(G6&gt;=4,1,0)</f>
        <v>0</v>
      </c>
      <c r="I12" s="515"/>
      <c r="J12" s="10"/>
      <c r="K12" s="10"/>
      <c r="L12" s="11" t="s">
        <v>20</v>
      </c>
      <c r="M12" s="11">
        <f>Sheet1!U4</f>
        <v>120</v>
      </c>
      <c r="N12" s="11">
        <v>2</v>
      </c>
      <c r="O12" s="11" t="s">
        <v>83</v>
      </c>
      <c r="Q12" s="4" t="s">
        <v>93</v>
      </c>
      <c r="R12" s="8">
        <f>MAX(R9:S11)</f>
        <v>1</v>
      </c>
      <c r="S12" s="8">
        <f>MAX(R9:S11)</f>
        <v>1</v>
      </c>
      <c r="T12" s="8">
        <f>MAX(T9:U11)</f>
        <v>0</v>
      </c>
      <c r="U12" s="8">
        <f>MAX(T9:U11)</f>
        <v>0</v>
      </c>
      <c r="W12" s="4" t="s">
        <v>93</v>
      </c>
      <c r="X12" s="8">
        <f>MAX(X9:X11)</f>
        <v>1</v>
      </c>
      <c r="Y12" s="8">
        <f>MAX(Y9:Y11)</f>
        <v>1</v>
      </c>
      <c r="Z12" s="8">
        <f>MAX(Z9:Z11)</f>
        <v>0</v>
      </c>
      <c r="AA12" s="8">
        <f>MAX(AA9:AA11)</f>
        <v>0</v>
      </c>
    </row>
    <row r="13" spans="1:27" x14ac:dyDescent="0.25">
      <c r="A13" s="5" t="s">
        <v>81</v>
      </c>
      <c r="B13" s="87">
        <f>IF(E8&gt;45,1,0)</f>
        <v>0</v>
      </c>
      <c r="C13" s="87"/>
      <c r="D13" s="87">
        <f>IF(C8&gt;45,1,0)</f>
        <v>0</v>
      </c>
      <c r="E13" s="87"/>
      <c r="F13" s="87">
        <f>IF(I8&gt;45,1,0)</f>
        <v>0</v>
      </c>
      <c r="G13" s="87"/>
      <c r="H13" s="87">
        <f>IF(G8&gt;45,1,0)</f>
        <v>0</v>
      </c>
      <c r="I13" s="515"/>
      <c r="J13" s="12"/>
      <c r="K13" s="12"/>
      <c r="L13" s="11" t="s">
        <v>5</v>
      </c>
      <c r="M13" s="11">
        <f>Sheet1!F4+Sheet1!Y4+Sheet1!AB4</f>
        <v>60</v>
      </c>
      <c r="N13" s="11">
        <v>3</v>
      </c>
      <c r="O13" s="11" t="s">
        <v>84</v>
      </c>
      <c r="Q13" s="499" t="s">
        <v>94</v>
      </c>
      <c r="R13" s="499"/>
      <c r="S13" s="499"/>
      <c r="T13" s="499"/>
      <c r="U13" s="499"/>
    </row>
    <row r="14" spans="1:27" x14ac:dyDescent="0.25">
      <c r="A14" s="281" t="s">
        <v>98</v>
      </c>
      <c r="B14" s="253">
        <f>IF(B3&gt;=240,1,0)</f>
        <v>0</v>
      </c>
      <c r="C14" s="253"/>
      <c r="D14" s="253">
        <f>IF(D3&gt;=240,1,0)</f>
        <v>1</v>
      </c>
      <c r="E14" s="253"/>
      <c r="F14" s="253">
        <f>IF(F3&gt;=240,1,0)</f>
        <v>0</v>
      </c>
      <c r="G14" s="253"/>
      <c r="H14" s="253">
        <f>IF(H3&gt;=240,1,0)</f>
        <v>0</v>
      </c>
      <c r="I14" s="515"/>
      <c r="J14" s="93"/>
      <c r="K14" s="93"/>
      <c r="L14" s="11" t="s">
        <v>10</v>
      </c>
      <c r="M14" s="11">
        <f>Sheet1!K4+Sheet1!AE4+Sheet1!AH4</f>
        <v>100</v>
      </c>
      <c r="N14" s="56">
        <v>2</v>
      </c>
      <c r="O14" s="86" t="s">
        <v>85</v>
      </c>
      <c r="Q14" s="2"/>
      <c r="R14" s="2"/>
      <c r="S14" s="2"/>
      <c r="T14" s="2"/>
      <c r="U14" s="2"/>
    </row>
    <row r="15" spans="1:27" x14ac:dyDescent="0.25">
      <c r="A15" s="10" t="s">
        <v>99</v>
      </c>
      <c r="B15" s="87">
        <f>X12</f>
        <v>1</v>
      </c>
      <c r="C15" s="87"/>
      <c r="D15" s="87">
        <f>Y12</f>
        <v>1</v>
      </c>
      <c r="E15" s="87"/>
      <c r="F15" s="87">
        <f>Z12</f>
        <v>0</v>
      </c>
      <c r="G15" s="87"/>
      <c r="H15" s="87">
        <f>AA12</f>
        <v>0</v>
      </c>
      <c r="I15" s="515"/>
      <c r="J15" s="93"/>
      <c r="K15" s="514" t="s">
        <v>444</v>
      </c>
      <c r="L15" s="11" t="s">
        <v>410</v>
      </c>
      <c r="M15" s="11">
        <f>B3+C3+M11</f>
        <v>2250</v>
      </c>
      <c r="N15" s="11"/>
      <c r="O15" s="11"/>
      <c r="Q15" s="2"/>
      <c r="R15" s="2"/>
      <c r="S15" s="2"/>
      <c r="T15" s="2"/>
      <c r="U15" s="2"/>
    </row>
    <row r="16" spans="1:27" x14ac:dyDescent="0.25">
      <c r="A16" s="282" t="s">
        <v>100</v>
      </c>
      <c r="B16" s="253">
        <f>IF(D3+E3=0,0,IF(AND(B14=1, SUM(B11:B13)=0),3,MAX(B11:B13)))</f>
        <v>1</v>
      </c>
      <c r="C16" s="253"/>
      <c r="D16" s="253">
        <f>IF(B3+C3=0,0,IF(AND(D14=1, SUM(D11:D13)=0),3,MAX(D11:D13)))</f>
        <v>1</v>
      </c>
      <c r="E16" s="253"/>
      <c r="F16" s="253">
        <f>IF(H3+I3=0,0,IF(AND(F14=1, SUM(F11:F13)=0),3,MAX(F11:F13)))</f>
        <v>0</v>
      </c>
      <c r="G16" s="253"/>
      <c r="H16" s="253">
        <f>IF(F3+G3=0,0,IF(AND(H14=1, SUM(H11:H13)=0),3,MAX(H11:H13)))</f>
        <v>0</v>
      </c>
      <c r="I16" s="278"/>
      <c r="J16" s="12"/>
      <c r="K16" s="514"/>
      <c r="L16" s="11" t="s">
        <v>411</v>
      </c>
      <c r="M16" s="11">
        <f>D3+E3+M12</f>
        <v>2570</v>
      </c>
      <c r="N16" s="11"/>
      <c r="O16" s="11"/>
      <c r="P16" s="516" t="s">
        <v>108</v>
      </c>
      <c r="Q16" s="517"/>
      <c r="R16" s="517"/>
      <c r="S16" s="517"/>
      <c r="T16" s="517"/>
      <c r="U16" s="2"/>
    </row>
    <row r="17" spans="1:24" x14ac:dyDescent="0.25">
      <c r="A17" s="39" t="s">
        <v>92</v>
      </c>
      <c r="B17" s="279">
        <f>IF(OR(D16=3,R12=1),3,2)</f>
        <v>3</v>
      </c>
      <c r="C17" s="279"/>
      <c r="D17" s="279">
        <f>IF(OR(B16=3,S12=1),3,2)</f>
        <v>3</v>
      </c>
      <c r="E17" s="279"/>
      <c r="F17" s="279">
        <f>IF(OR(H16=3,T12=1),3,2)</f>
        <v>2</v>
      </c>
      <c r="G17" s="279"/>
      <c r="H17" s="279">
        <f>IF(OR(F16=3,U12=1),3,2)</f>
        <v>2</v>
      </c>
      <c r="I17" s="40" t="s">
        <v>96</v>
      </c>
      <c r="J17" s="16"/>
      <c r="K17" s="514"/>
      <c r="L17" s="15" t="s">
        <v>412</v>
      </c>
      <c r="M17" s="15">
        <f>F3+G3+M13</f>
        <v>785</v>
      </c>
      <c r="N17" s="17"/>
      <c r="O17" s="11"/>
      <c r="P17" s="15"/>
      <c r="Q17" s="511" t="s">
        <v>107</v>
      </c>
      <c r="R17" s="511"/>
      <c r="S17" s="511"/>
      <c r="T17" s="511"/>
      <c r="U17" s="15"/>
      <c r="V17" s="15"/>
    </row>
    <row r="18" spans="1:24" x14ac:dyDescent="0.25">
      <c r="A18" s="283" t="s">
        <v>89</v>
      </c>
      <c r="B18" s="284">
        <f>IF(OR(E7&gt;0,C7&gt;0),2,0)</f>
        <v>0</v>
      </c>
      <c r="C18" s="284"/>
      <c r="D18" s="284">
        <f>IF(OR(C7&gt;0,E7&gt;0),2,0)</f>
        <v>0</v>
      </c>
      <c r="E18" s="284"/>
      <c r="F18" s="284">
        <f>IF(OR(I7&gt;0,G7&gt;0),2,0)</f>
        <v>0</v>
      </c>
      <c r="G18" s="284"/>
      <c r="H18" s="284">
        <f>IF(OR(G7&gt;0,I7&gt;0),2,0)</f>
        <v>0</v>
      </c>
      <c r="I18" s="38" t="s">
        <v>95</v>
      </c>
      <c r="J18" s="14"/>
      <c r="K18" s="514"/>
      <c r="L18" s="15" t="s">
        <v>413</v>
      </c>
      <c r="M18" s="15">
        <f>H3+I3+M14</f>
        <v>1050</v>
      </c>
      <c r="N18" s="20"/>
      <c r="O18" s="11"/>
      <c r="P18" t="s">
        <v>105</v>
      </c>
      <c r="Q18" s="49">
        <v>1</v>
      </c>
      <c r="R18" s="50">
        <v>2</v>
      </c>
      <c r="S18" s="6">
        <v>3</v>
      </c>
      <c r="T18" s="6">
        <v>4</v>
      </c>
      <c r="V18" s="15"/>
    </row>
    <row r="19" spans="1:24" s="41" customFormat="1" x14ac:dyDescent="0.25">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25">
      <c r="A20" s="42"/>
      <c r="B20" s="81"/>
      <c r="C20" s="81"/>
      <c r="D20" s="81"/>
      <c r="E20" s="81"/>
      <c r="F20" s="81"/>
      <c r="G20" s="81"/>
      <c r="H20" s="81"/>
      <c r="I20" s="21"/>
      <c r="J20" s="15"/>
      <c r="K20" s="15"/>
      <c r="L20" s="15"/>
      <c r="M20" s="15"/>
      <c r="N20" s="20"/>
      <c r="O20" s="11"/>
      <c r="V20" s="15"/>
    </row>
    <row r="21" spans="1:24" x14ac:dyDescent="0.25">
      <c r="A21" s="285" t="s">
        <v>104</v>
      </c>
      <c r="B21" s="253">
        <f>IF(AND(B16=1,B18=0),1,MAX(B16:B18))</f>
        <v>1</v>
      </c>
      <c r="C21" s="253"/>
      <c r="D21" s="253">
        <f>IF(AND(D16=1,D18=0),1,MAX(D16:D18))</f>
        <v>1</v>
      </c>
      <c r="E21" s="253"/>
      <c r="F21" s="253">
        <f>IF(AND(F16=1,F18=0),1,MAX(F16:F18))</f>
        <v>2</v>
      </c>
      <c r="G21" s="253"/>
      <c r="H21" s="253">
        <f>IF(AND(H16=1,H18=0),1,MAX(H16:H18))</f>
        <v>2</v>
      </c>
      <c r="I21" s="16"/>
      <c r="J21" s="15"/>
      <c r="K21" s="20" t="s">
        <v>13</v>
      </c>
      <c r="L21" s="20" t="s">
        <v>18</v>
      </c>
      <c r="M21" s="20" t="s">
        <v>3</v>
      </c>
      <c r="N21" s="20" t="s">
        <v>8</v>
      </c>
      <c r="O21" s="11"/>
      <c r="Q21" s="499" t="s">
        <v>109</v>
      </c>
      <c r="R21" s="499"/>
      <c r="S21" s="48"/>
      <c r="T21" s="48"/>
      <c r="V21" s="15"/>
    </row>
    <row r="22" spans="1:24" x14ac:dyDescent="0.25">
      <c r="A22" s="47" t="s">
        <v>101</v>
      </c>
      <c r="B22" s="87">
        <f>IF('Input sheet'!$B$21="Yes",'Phase designation'!K23,'Phase designation'!K22)</f>
        <v>1</v>
      </c>
      <c r="C22" s="87"/>
      <c r="D22" s="87">
        <f>IF('Input sheet'!$B$21="Yes",'Phase designation'!L23,'Phase designation'!L22)</f>
        <v>1</v>
      </c>
      <c r="E22" s="87"/>
      <c r="F22" s="87">
        <f>IF('Input sheet'!$B$21="Yes",'Phase designation'!M23,'Phase designation'!M22)</f>
        <v>2</v>
      </c>
      <c r="G22" s="87"/>
      <c r="H22" s="87">
        <f>IF('Input sheet'!$B$21="Yes",'Phase designation'!N23,'Phase designation'!N22)</f>
        <v>2</v>
      </c>
      <c r="I22" s="16"/>
      <c r="J22" s="15" t="s">
        <v>307</v>
      </c>
      <c r="K22" s="20">
        <f>IF(B19=0,B21,B19)</f>
        <v>1</v>
      </c>
      <c r="L22" s="20">
        <f>IF(D19=0,D21,D19)</f>
        <v>1</v>
      </c>
      <c r="M22" s="20">
        <f>IF(F19=0,F21,F19)</f>
        <v>2</v>
      </c>
      <c r="N22" s="20">
        <f>IF(H19=0,H21,H19)</f>
        <v>2</v>
      </c>
      <c r="O22" s="11"/>
      <c r="P22" t="s">
        <v>105</v>
      </c>
      <c r="Q22" s="50">
        <v>2</v>
      </c>
      <c r="R22" s="49">
        <v>4</v>
      </c>
      <c r="S22" s="6"/>
      <c r="T22" s="6"/>
      <c r="V22" s="15"/>
    </row>
    <row r="23" spans="1:24" s="42" customFormat="1" x14ac:dyDescent="0.25">
      <c r="A23" s="286"/>
      <c r="B23" s="286" t="str">
        <f>LOOKUP(B22,$N$11:$N$14,$O$11:$O$14)</f>
        <v>Protected</v>
      </c>
      <c r="C23" s="286"/>
      <c r="D23" s="286" t="str">
        <f>LOOKUP(D22,$N$11:$N$14,$O$11:$O$14)</f>
        <v>Protected</v>
      </c>
      <c r="E23" s="286"/>
      <c r="F23" s="286" t="str">
        <f>LOOKUP(F22,$N$11:$N$14,$O$11:$O$14)</f>
        <v>Permitted</v>
      </c>
      <c r="G23" s="286"/>
      <c r="H23" s="286" t="str">
        <f>LOOKUP(H22,$N$11:$N$14,$O$11:$O$14)</f>
        <v>Permitted</v>
      </c>
      <c r="I23" s="21"/>
      <c r="J23" s="22" t="s">
        <v>308</v>
      </c>
      <c r="K23" s="19">
        <f>IF('Input sheet'!F10=0,K22,'Input sheet'!F10)</f>
        <v>1</v>
      </c>
      <c r="L23" s="19">
        <f>IF('Input sheet'!M20=0,L22,'Input sheet'!M20)</f>
        <v>1</v>
      </c>
      <c r="M23" s="19">
        <f>IF('Input sheet'!F25=0,M22,'Input sheet'!F25)</f>
        <v>2</v>
      </c>
      <c r="N23" s="19">
        <f>IF('Input sheet'!L9=0,N22,'Input sheet'!L9)</f>
        <v>2</v>
      </c>
      <c r="O23" s="26"/>
      <c r="P23" s="47" t="s">
        <v>106</v>
      </c>
      <c r="Q23" s="51">
        <v>6</v>
      </c>
      <c r="R23" s="45">
        <v>8</v>
      </c>
      <c r="S23" s="45"/>
      <c r="T23" s="45"/>
      <c r="V23" s="15"/>
    </row>
    <row r="24" spans="1:24" s="42" customFormat="1" x14ac:dyDescent="0.25">
      <c r="B24" s="41"/>
      <c r="C24" s="21"/>
      <c r="D24" s="21"/>
      <c r="E24" s="105"/>
      <c r="F24" s="21"/>
      <c r="G24" s="21"/>
      <c r="H24" s="21"/>
      <c r="I24" s="21"/>
      <c r="J24" s="22"/>
      <c r="K24" s="22"/>
      <c r="L24" s="18"/>
      <c r="M24" s="68"/>
      <c r="N24" s="19"/>
      <c r="O24" s="13"/>
      <c r="V24" s="15"/>
    </row>
    <row r="25" spans="1:24" x14ac:dyDescent="0.25">
      <c r="B25" s="81"/>
      <c r="C25" s="81"/>
      <c r="D25" s="81"/>
      <c r="E25" s="81"/>
      <c r="F25" s="81"/>
      <c r="G25" s="81"/>
      <c r="H25" s="81"/>
      <c r="I25" s="81"/>
      <c r="L25" s="18"/>
      <c r="M25" s="68"/>
      <c r="N25" s="20"/>
      <c r="O25" s="14"/>
      <c r="Q25" s="499" t="s">
        <v>111</v>
      </c>
      <c r="R25" s="499"/>
      <c r="S25" s="499"/>
      <c r="V25" s="22"/>
    </row>
    <row r="26" spans="1:24" x14ac:dyDescent="0.25">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25">
      <c r="A27" s="43" t="s">
        <v>102</v>
      </c>
      <c r="B27" s="158">
        <f>IF(OR(B22=1,B22=3),B5,0)</f>
        <v>5</v>
      </c>
      <c r="C27" s="158">
        <f>IF(AND(C5=0,$I$9=1),C4,C5)</f>
        <v>2</v>
      </c>
      <c r="D27" s="158">
        <f>IF(OR(D22=1,D22=3),D5,0)</f>
        <v>1</v>
      </c>
      <c r="E27" s="376">
        <f>IF(AND(E5=0,$I$9=1),E4,E5)</f>
        <v>6</v>
      </c>
      <c r="F27" s="158">
        <f>IF(OR(F22=1,F22=3),F5,0)</f>
        <v>0</v>
      </c>
      <c r="G27" s="376">
        <f>IF(AND(G5=0,$I$9=1),G4,G5)</f>
        <v>8</v>
      </c>
      <c r="H27" s="158">
        <f>IF(OR(H22=1,H22=3),H5,0)</f>
        <v>0</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25">
      <c r="A28" s="287" t="s">
        <v>103</v>
      </c>
      <c r="B28" s="258">
        <f>IF(OR(B22=2,B22=3,B22=4),C27,0)</f>
        <v>0</v>
      </c>
      <c r="C28" s="258"/>
      <c r="D28" s="258">
        <f>IF(OR(D22=2,D22=3,D22=4),E27,0)</f>
        <v>0</v>
      </c>
      <c r="E28" s="258"/>
      <c r="F28" s="258">
        <f>IF(OR(F22=2,F22=3,F22=4),G27,0)</f>
        <v>8</v>
      </c>
      <c r="G28" s="258"/>
      <c r="H28" s="258">
        <f>IF(OR(H22=2,H22=3,H22=4),I27,0)</f>
        <v>4</v>
      </c>
      <c r="I28" s="258"/>
      <c r="L28" s="22"/>
      <c r="M28" s="22"/>
      <c r="N28" s="20"/>
      <c r="O28" s="23"/>
      <c r="V28" s="10"/>
    </row>
    <row r="29" spans="1:24" x14ac:dyDescent="0.25">
      <c r="L29" s="19"/>
      <c r="M29" s="19"/>
      <c r="N29" s="20"/>
      <c r="O29" s="14"/>
      <c r="P29" t="s">
        <v>105</v>
      </c>
      <c r="Q29" s="50">
        <v>2</v>
      </c>
      <c r="R29" s="52"/>
      <c r="S29" s="6">
        <v>4</v>
      </c>
      <c r="U29" t="s">
        <v>105</v>
      </c>
      <c r="V29" s="50" t="str">
        <f>IF(AND(D22=4,F22&lt;&gt;4),Q29,"")</f>
        <v/>
      </c>
      <c r="W29" s="52"/>
      <c r="X29" s="6" t="str">
        <f>IF(AND(D22=4,F22&lt;&gt;4),S29,"")</f>
        <v/>
      </c>
    </row>
    <row r="30" spans="1:24" x14ac:dyDescent="0.25">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IF(AND(D22=4,F22=4),Q32,"")</f>
        <v/>
      </c>
      <c r="W32" s="52"/>
      <c r="X32" s="52" t="str">
        <f>IF(AND(D22=4,F22=4),S32,"")</f>
        <v/>
      </c>
    </row>
    <row r="33" spans="2:33" x14ac:dyDescent="0.25">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25">
      <c r="J34" s="55"/>
      <c r="K34" s="508" t="s">
        <v>113</v>
      </c>
      <c r="L34" s="508"/>
      <c r="M34" s="508"/>
      <c r="N34" s="508"/>
      <c r="O34" s="82"/>
    </row>
    <row r="35" spans="2:33" x14ac:dyDescent="0.25">
      <c r="B35" s="44" t="str">
        <f>B27&amp;"  "&amp;B28</f>
        <v>5  0</v>
      </c>
      <c r="G35" s="9">
        <f>E27</f>
        <v>6</v>
      </c>
      <c r="J35" s="56"/>
      <c r="K35" s="57" t="str">
        <f>IF($U$41=0,"b","")</f>
        <v/>
      </c>
      <c r="L35" s="57" t="str">
        <f>IF(OR($U$41=0,$U$41=1),"b","")</f>
        <v>b</v>
      </c>
      <c r="M35" s="57" t="str">
        <f>IF($U$41=0,"b","")</f>
        <v/>
      </c>
      <c r="N35" s="58"/>
      <c r="O35" s="77"/>
      <c r="P35" s="42"/>
      <c r="Q35" s="42"/>
    </row>
    <row r="36" spans="2:33" x14ac:dyDescent="0.25">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25">
      <c r="B37" s="7">
        <f>C27</f>
        <v>2</v>
      </c>
      <c r="C37" s="26"/>
      <c r="D37" s="11"/>
      <c r="E37" s="11"/>
      <c r="F37" s="11"/>
      <c r="G37" s="27" t="str">
        <f>D27&amp;"  "&amp;D28</f>
        <v>1  0</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25">
      <c r="C38" s="30"/>
      <c r="D38" s="15"/>
      <c r="E38" s="15"/>
      <c r="F38" s="15"/>
      <c r="G38" s="26"/>
      <c r="H38" s="14"/>
      <c r="P38" s="42"/>
      <c r="Q38" s="42"/>
    </row>
    <row r="39" spans="2:33" x14ac:dyDescent="0.25">
      <c r="C39" s="31"/>
      <c r="D39" s="32"/>
      <c r="E39" s="32"/>
      <c r="F39" s="33"/>
      <c r="G39" s="15"/>
      <c r="H39" s="16"/>
      <c r="J39" s="55"/>
      <c r="K39" s="508" t="s">
        <v>114</v>
      </c>
      <c r="L39" s="508"/>
      <c r="M39" s="508"/>
      <c r="N39" s="508"/>
    </row>
    <row r="40" spans="2:33" x14ac:dyDescent="0.25">
      <c r="C40" s="34"/>
      <c r="D40" s="15"/>
      <c r="E40" s="15"/>
      <c r="F40" s="15"/>
      <c r="G40" s="18"/>
      <c r="H40" s="18"/>
      <c r="J40" s="56"/>
      <c r="K40" s="57" t="str">
        <f>K35</f>
        <v/>
      </c>
      <c r="L40" s="57" t="str">
        <f>L35</f>
        <v>b</v>
      </c>
      <c r="M40" s="57" t="str">
        <f>M35</f>
        <v/>
      </c>
      <c r="N40" s="57"/>
      <c r="P40" s="15"/>
      <c r="Q40" s="511" t="s">
        <v>110</v>
      </c>
      <c r="R40" s="511"/>
      <c r="S40" s="511"/>
      <c r="T40" s="511"/>
      <c r="W40" s="15"/>
      <c r="X40" s="511" t="s">
        <v>115</v>
      </c>
      <c r="Y40" s="511"/>
      <c r="Z40" s="511"/>
      <c r="AA40" s="511"/>
      <c r="AC40" s="15"/>
      <c r="AD40" s="511" t="s">
        <v>75</v>
      </c>
      <c r="AE40" s="511"/>
      <c r="AF40" s="511"/>
      <c r="AG40" s="511"/>
    </row>
    <row r="41" spans="2:33" x14ac:dyDescent="0.25">
      <c r="C41" s="35"/>
      <c r="D41" s="15"/>
      <c r="E41" s="15" t="s">
        <v>77</v>
      </c>
      <c r="F41" s="15"/>
      <c r="G41" s="15"/>
      <c r="H41" s="15"/>
      <c r="J41" s="59" t="s">
        <v>105</v>
      </c>
      <c r="K41" s="60" t="str">
        <f t="shared" ref="K41:N42" si="3">IF(K36&lt;&gt;0,Q55,"")</f>
        <v>WBL</v>
      </c>
      <c r="L41" s="60" t="str">
        <f t="shared" si="3"/>
        <v>EBT</v>
      </c>
      <c r="M41" s="60" t="str">
        <f t="shared" si="3"/>
        <v/>
      </c>
      <c r="N41" s="60" t="str">
        <f t="shared" si="3"/>
        <v>SBT</v>
      </c>
      <c r="P41" t="s">
        <v>105</v>
      </c>
      <c r="Q41" s="49">
        <f>MAX(X41,AD41)</f>
        <v>1</v>
      </c>
      <c r="R41" s="49">
        <f t="shared" ref="R41:T42" si="4">MAX(Y41,AE41)</f>
        <v>2</v>
      </c>
      <c r="S41" s="49">
        <f t="shared" si="4"/>
        <v>0</v>
      </c>
      <c r="T41" s="49">
        <f t="shared" si="4"/>
        <v>4</v>
      </c>
      <c r="U41" s="512">
        <f>IF(V36=0,1,0)</f>
        <v>1</v>
      </c>
      <c r="W41" t="s">
        <v>105</v>
      </c>
      <c r="X41" s="49">
        <f>IF(AND($X$40=$J$2,D27=1),1,0)</f>
        <v>1</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25">
      <c r="C42" s="23"/>
      <c r="D42" s="36" t="str">
        <f>F27&amp;"  "&amp;F28</f>
        <v>0  8</v>
      </c>
      <c r="E42" s="37">
        <f>G27</f>
        <v>8</v>
      </c>
      <c r="F42" s="15"/>
      <c r="G42" s="15"/>
      <c r="H42" s="15"/>
      <c r="J42" s="61" t="s">
        <v>106</v>
      </c>
      <c r="K42" s="60" t="str">
        <f t="shared" si="3"/>
        <v>EBL</v>
      </c>
      <c r="L42" s="60" t="str">
        <f t="shared" si="3"/>
        <v>WBT</v>
      </c>
      <c r="M42" s="60" t="str">
        <f t="shared" si="3"/>
        <v/>
      </c>
      <c r="N42" s="60" t="str">
        <f t="shared" si="3"/>
        <v>NBT</v>
      </c>
      <c r="P42" s="47" t="s">
        <v>106</v>
      </c>
      <c r="Q42" s="49">
        <f>MAX(X42,AD42)</f>
        <v>5</v>
      </c>
      <c r="R42" s="49">
        <f t="shared" si="4"/>
        <v>6</v>
      </c>
      <c r="S42" s="49">
        <f t="shared" si="4"/>
        <v>0</v>
      </c>
      <c r="T42" s="49">
        <f t="shared" si="4"/>
        <v>8</v>
      </c>
      <c r="U42" s="512"/>
      <c r="W42" s="47" t="s">
        <v>106</v>
      </c>
      <c r="X42" s="45">
        <f>IF(AND($X$40=$J$2,B27=5),5,0)</f>
        <v>5</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25">
      <c r="P43"/>
      <c r="Q43" s="42"/>
      <c r="R43" s="42"/>
      <c r="S43" s="42"/>
      <c r="T43" s="42"/>
      <c r="U43" s="6"/>
    </row>
    <row r="44" spans="2:33" hidden="1" x14ac:dyDescent="0.25">
      <c r="P44" s="47"/>
      <c r="Q44" s="511" t="s">
        <v>112</v>
      </c>
      <c r="R44" s="511"/>
      <c r="S44" s="511"/>
      <c r="T44" s="511"/>
      <c r="U44" s="6"/>
    </row>
    <row r="45" spans="2:33" hidden="1" x14ac:dyDescent="0.25">
      <c r="P45" t="s">
        <v>105</v>
      </c>
      <c r="Q45" s="50">
        <f t="shared" ref="Q45:T46" si="5">IF(V36&lt;&gt;0,V36,0)</f>
        <v>0</v>
      </c>
      <c r="R45" s="50">
        <f t="shared" si="5"/>
        <v>0</v>
      </c>
      <c r="S45" s="50">
        <f t="shared" si="5"/>
        <v>0</v>
      </c>
      <c r="T45" s="50">
        <f t="shared" si="5"/>
        <v>0</v>
      </c>
      <c r="U45" s="513">
        <f>IF(V36=0,0,1)</f>
        <v>0</v>
      </c>
    </row>
    <row r="46" spans="2:33" hidden="1" x14ac:dyDescent="0.25">
      <c r="P46" s="47" t="s">
        <v>106</v>
      </c>
      <c r="Q46" s="50">
        <f t="shared" si="5"/>
        <v>0</v>
      </c>
      <c r="R46" s="50">
        <f t="shared" si="5"/>
        <v>0</v>
      </c>
      <c r="S46" s="50">
        <f t="shared" si="5"/>
        <v>0</v>
      </c>
      <c r="T46" s="50">
        <f t="shared" si="5"/>
        <v>0</v>
      </c>
      <c r="U46" s="513"/>
    </row>
    <row r="47" spans="2:33" x14ac:dyDescent="0.25">
      <c r="B47" s="55"/>
      <c r="C47" s="508" t="s">
        <v>113</v>
      </c>
      <c r="D47" s="508"/>
      <c r="E47" s="508"/>
      <c r="F47" s="508"/>
      <c r="J47" s="55"/>
      <c r="K47" s="508" t="s">
        <v>449</v>
      </c>
      <c r="L47" s="508"/>
      <c r="M47" s="508"/>
      <c r="N47" s="508"/>
    </row>
    <row r="48" spans="2:33" x14ac:dyDescent="0.25">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25">
      <c r="B49" s="95" t="s">
        <v>105</v>
      </c>
      <c r="C49" s="57">
        <f t="shared" si="6"/>
        <v>1</v>
      </c>
      <c r="D49" s="57">
        <f t="shared" si="6"/>
        <v>2</v>
      </c>
      <c r="E49" s="57">
        <f t="shared" si="6"/>
        <v>0</v>
      </c>
      <c r="F49" s="57">
        <f t="shared" si="6"/>
        <v>4</v>
      </c>
      <c r="J49" s="59" t="s">
        <v>105</v>
      </c>
      <c r="K49" s="60">
        <f>Phasing!D46</f>
        <v>0</v>
      </c>
      <c r="L49" s="60">
        <f>Phasing!E46</f>
        <v>10</v>
      </c>
      <c r="M49" s="60">
        <f>Phasing!F46</f>
        <v>0</v>
      </c>
      <c r="N49" s="60">
        <f>Phasing!G46</f>
        <v>46</v>
      </c>
      <c r="P49" s="6">
        <f>B27</f>
        <v>5</v>
      </c>
      <c r="Q49" s="6">
        <f t="shared" ref="Q49:W49" si="7">C27</f>
        <v>2</v>
      </c>
      <c r="R49" s="6">
        <f t="shared" si="7"/>
        <v>1</v>
      </c>
      <c r="S49" s="6">
        <f t="shared" si="7"/>
        <v>6</v>
      </c>
      <c r="T49" s="6">
        <f t="shared" si="7"/>
        <v>0</v>
      </c>
      <c r="U49" s="6">
        <f t="shared" si="7"/>
        <v>8</v>
      </c>
      <c r="V49" s="6">
        <f t="shared" si="7"/>
        <v>0</v>
      </c>
      <c r="W49" s="6">
        <f t="shared" si="7"/>
        <v>4</v>
      </c>
    </row>
    <row r="50" spans="2:23" x14ac:dyDescent="0.25">
      <c r="B50" s="184" t="s">
        <v>106</v>
      </c>
      <c r="C50" s="57">
        <f t="shared" si="6"/>
        <v>5</v>
      </c>
      <c r="D50" s="57">
        <f t="shared" si="6"/>
        <v>6</v>
      </c>
      <c r="E50" s="57">
        <f t="shared" si="6"/>
        <v>0</v>
      </c>
      <c r="F50" s="57">
        <f t="shared" si="6"/>
        <v>8</v>
      </c>
      <c r="J50" s="61" t="s">
        <v>106</v>
      </c>
      <c r="K50" s="60">
        <f>Phasing!H46</f>
        <v>0</v>
      </c>
      <c r="L50" s="60">
        <f>Phasing!I46</f>
        <v>9</v>
      </c>
      <c r="M50" s="60">
        <f>Phasing!J46</f>
        <v>0</v>
      </c>
      <c r="N50" s="60">
        <f>Phasing!K46</f>
        <v>46</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x14ac:dyDescent="0.25">
      <c r="Q51" s="45"/>
      <c r="R51" s="45"/>
      <c r="S51" s="45"/>
      <c r="T51" s="45"/>
    </row>
    <row r="52" spans="2:23" x14ac:dyDescent="0.25">
      <c r="J52" s="55"/>
      <c r="K52" s="508" t="s">
        <v>450</v>
      </c>
      <c r="L52" s="508"/>
      <c r="M52" s="508"/>
      <c r="N52" s="508"/>
      <c r="P52" s="62" t="s">
        <v>105</v>
      </c>
      <c r="Q52" s="70">
        <f t="shared" ref="Q52:T53" si="9">MATCH(K36,$P$49:$W$49,0)</f>
        <v>3</v>
      </c>
      <c r="R52" s="70">
        <f t="shared" si="9"/>
        <v>2</v>
      </c>
      <c r="S52" s="70">
        <f t="shared" si="9"/>
        <v>5</v>
      </c>
      <c r="T52" s="70">
        <f t="shared" si="9"/>
        <v>8</v>
      </c>
    </row>
    <row r="53" spans="2:23" x14ac:dyDescent="0.25">
      <c r="J53" s="56"/>
      <c r="K53" s="57" t="str">
        <f>IF($U$41=0,"b","")</f>
        <v/>
      </c>
      <c r="L53" s="57" t="str">
        <f>IF(OR($U$41=0,$U$41=1),"b","")</f>
        <v>b</v>
      </c>
      <c r="M53" s="57" t="str">
        <f>IF($U$41=0,"b","")</f>
        <v/>
      </c>
      <c r="N53" s="58"/>
      <c r="P53" s="47" t="s">
        <v>106</v>
      </c>
      <c r="Q53" s="70">
        <f t="shared" si="9"/>
        <v>1</v>
      </c>
      <c r="R53" s="70">
        <f t="shared" si="9"/>
        <v>4</v>
      </c>
      <c r="S53" s="70">
        <f t="shared" si="9"/>
        <v>5</v>
      </c>
      <c r="T53" s="70">
        <f t="shared" si="9"/>
        <v>6</v>
      </c>
    </row>
    <row r="54" spans="2:23" x14ac:dyDescent="0.25">
      <c r="J54" s="59" t="s">
        <v>105</v>
      </c>
      <c r="K54" s="60">
        <f>Phasing!D47</f>
        <v>10</v>
      </c>
      <c r="L54" s="60">
        <f>Phasing!E47</f>
        <v>46</v>
      </c>
      <c r="M54" s="60">
        <f>Phasing!F47</f>
        <v>0</v>
      </c>
      <c r="N54" s="60">
        <f>Phasing!G47</f>
        <v>70</v>
      </c>
      <c r="Q54" s="70"/>
      <c r="R54" s="70"/>
      <c r="S54" s="70"/>
      <c r="T54" s="70"/>
    </row>
    <row r="55" spans="2:23" x14ac:dyDescent="0.25">
      <c r="J55" s="61" t="s">
        <v>106</v>
      </c>
      <c r="K55" s="60">
        <f>Phasing!H47</f>
        <v>9</v>
      </c>
      <c r="L55" s="60">
        <f>Phasing!I47</f>
        <v>46</v>
      </c>
      <c r="M55" s="60">
        <f>Phasing!J47</f>
        <v>0</v>
      </c>
      <c r="N55" s="60">
        <f>Phasing!K47</f>
        <v>70</v>
      </c>
      <c r="P55" s="62" t="s">
        <v>105</v>
      </c>
      <c r="Q55" s="70" t="str">
        <f>IF(Q52&gt;0,INDEX($P$49:$W$50,2,Q52),0)</f>
        <v>WBL</v>
      </c>
      <c r="R55" s="70" t="str">
        <f>IF(R52&gt;0,INDEX($P$49:$W$50,2,R52),0)</f>
        <v>EBT</v>
      </c>
      <c r="S55" s="70">
        <f>IF(S52&gt;0,INDEX($P$49:$W$50,2,S52),0)</f>
        <v>0</v>
      </c>
      <c r="T55" s="70" t="str">
        <f t="shared" ref="R55:T56" si="10">INDEX($P$49:$W$50,2,T52)</f>
        <v>SBT</v>
      </c>
    </row>
    <row r="56" spans="2:23" x14ac:dyDescent="0.25">
      <c r="P56" s="47" t="s">
        <v>106</v>
      </c>
      <c r="Q56" s="70" t="str">
        <f>INDEX($P$49:$W$50,2,Q53)</f>
        <v>EBL</v>
      </c>
      <c r="R56" s="70" t="str">
        <f t="shared" si="10"/>
        <v>WBT</v>
      </c>
      <c r="S56" s="70">
        <f t="shared" si="10"/>
        <v>0</v>
      </c>
      <c r="T56" s="70" t="str">
        <f t="shared" si="10"/>
        <v>NBT</v>
      </c>
    </row>
    <row r="59" spans="2:23" x14ac:dyDescent="0.25">
      <c r="J59" s="499" t="s">
        <v>451</v>
      </c>
      <c r="K59" s="507"/>
      <c r="L59" s="499" t="s">
        <v>452</v>
      </c>
      <c r="M59" s="507"/>
      <c r="N59" s="499" t="s">
        <v>453</v>
      </c>
      <c r="O59" s="507"/>
      <c r="P59" s="499" t="s">
        <v>454</v>
      </c>
      <c r="Q59" s="507"/>
      <c r="R59" s="84"/>
      <c r="S59" s="84"/>
      <c r="T59" s="84"/>
      <c r="U59" s="84"/>
      <c r="V59" s="84"/>
      <c r="W59" s="84"/>
    </row>
    <row r="60" spans="2:23" x14ac:dyDescent="0.25">
      <c r="I60" t="s">
        <v>105</v>
      </c>
      <c r="J60" s="379">
        <f>K49</f>
        <v>0</v>
      </c>
      <c r="K60" s="379">
        <f>K54</f>
        <v>10</v>
      </c>
      <c r="L60" s="379">
        <f>L49</f>
        <v>10</v>
      </c>
      <c r="M60" s="379">
        <f>L54</f>
        <v>46</v>
      </c>
      <c r="N60" s="379">
        <f>M49</f>
        <v>0</v>
      </c>
      <c r="O60" s="379">
        <f>M54</f>
        <v>0</v>
      </c>
      <c r="P60" s="87">
        <f>N49</f>
        <v>46</v>
      </c>
      <c r="Q60" s="87">
        <f>N54</f>
        <v>70</v>
      </c>
      <c r="R60" s="82"/>
      <c r="S60" s="82"/>
      <c r="T60" s="82"/>
      <c r="U60" s="82"/>
      <c r="V60" s="82"/>
      <c r="W60" s="83"/>
    </row>
    <row r="61" spans="2:23" x14ac:dyDescent="0.25">
      <c r="I61" t="s">
        <v>106</v>
      </c>
      <c r="J61" s="379">
        <f>K50</f>
        <v>0</v>
      </c>
      <c r="K61" s="379">
        <f>K55</f>
        <v>9</v>
      </c>
      <c r="L61" s="379">
        <f>L50</f>
        <v>9</v>
      </c>
      <c r="M61" s="379">
        <f>L55</f>
        <v>46</v>
      </c>
      <c r="N61" s="379">
        <f>M50</f>
        <v>0</v>
      </c>
      <c r="O61" s="379">
        <f>M55</f>
        <v>0</v>
      </c>
      <c r="P61" s="87">
        <f>N50</f>
        <v>46</v>
      </c>
      <c r="Q61" s="87">
        <f>N55</f>
        <v>70</v>
      </c>
      <c r="R61" s="45"/>
      <c r="S61" s="45"/>
      <c r="T61" s="45"/>
      <c r="U61" s="45"/>
      <c r="V61" s="45"/>
      <c r="W61" s="45"/>
    </row>
    <row r="62" spans="2:23" x14ac:dyDescent="0.25">
      <c r="J62" s="499" t="s">
        <v>455</v>
      </c>
      <c r="K62" s="507"/>
      <c r="L62" s="499" t="s">
        <v>456</v>
      </c>
      <c r="M62" s="507"/>
      <c r="N62" s="499" t="s">
        <v>457</v>
      </c>
      <c r="O62" s="507"/>
      <c r="P62" s="499" t="s">
        <v>458</v>
      </c>
      <c r="Q62" s="507"/>
      <c r="R62" s="45"/>
      <c r="S62" s="45"/>
      <c r="T62" s="45"/>
      <c r="U62" s="45"/>
      <c r="V62" s="45"/>
      <c r="W62" s="45"/>
    </row>
    <row r="63" spans="2:23" x14ac:dyDescent="0.25">
      <c r="P63" s="81"/>
      <c r="Q63" s="81"/>
      <c r="R63" s="81"/>
      <c r="S63" s="81"/>
      <c r="T63" s="81"/>
      <c r="U63" s="81"/>
      <c r="V63" s="81"/>
      <c r="W63" s="81"/>
    </row>
    <row r="64" spans="2:23" x14ac:dyDescent="0.25">
      <c r="J64" t="s">
        <v>105</v>
      </c>
      <c r="K64" s="379">
        <v>0</v>
      </c>
      <c r="L64" s="379">
        <f>L60</f>
        <v>10</v>
      </c>
      <c r="M64" s="379">
        <f>N60</f>
        <v>0</v>
      </c>
      <c r="N64" s="379">
        <f>P60</f>
        <v>46</v>
      </c>
      <c r="O64" s="379">
        <f>Q60</f>
        <v>70</v>
      </c>
      <c r="P64" s="81"/>
      <c r="Q64" s="81"/>
      <c r="R64" s="81"/>
      <c r="S64" s="81"/>
      <c r="T64" s="81"/>
      <c r="U64" s="81"/>
      <c r="V64" s="81"/>
      <c r="W64" s="81"/>
    </row>
    <row r="65" spans="10:23" x14ac:dyDescent="0.25">
      <c r="J65" t="s">
        <v>106</v>
      </c>
      <c r="K65" s="379">
        <v>0</v>
      </c>
      <c r="L65" s="379">
        <f>L61</f>
        <v>9</v>
      </c>
      <c r="M65" s="379">
        <f>N61</f>
        <v>0</v>
      </c>
      <c r="N65" s="379">
        <f>P61</f>
        <v>46</v>
      </c>
      <c r="O65" s="379">
        <f>Q61</f>
        <v>70</v>
      </c>
      <c r="P65" s="16"/>
      <c r="Q65" s="16"/>
      <c r="R65" s="84"/>
      <c r="S65" s="84"/>
      <c r="T65" s="84"/>
      <c r="U65" s="84"/>
      <c r="V65" s="84"/>
      <c r="W65" s="84"/>
    </row>
    <row r="66" spans="10:23" x14ac:dyDescent="0.25">
      <c r="P66" s="81"/>
      <c r="Q66" s="81"/>
      <c r="R66" s="82"/>
      <c r="S66" s="82"/>
      <c r="T66" s="82"/>
      <c r="U66" s="82"/>
      <c r="V66" s="82"/>
      <c r="W66" s="83"/>
    </row>
    <row r="67" spans="10:23" x14ac:dyDescent="0.25">
      <c r="P67" s="62"/>
      <c r="Q67" s="77"/>
      <c r="R67" s="77"/>
      <c r="S67" s="77"/>
      <c r="T67" s="77"/>
      <c r="U67" s="77"/>
      <c r="V67" s="77"/>
      <c r="W67" s="77"/>
    </row>
    <row r="68" spans="10:23" x14ac:dyDescent="0.25">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100" t="s">
        <v>204</v>
      </c>
      <c r="T1" s="96"/>
      <c r="AK1" s="96"/>
      <c r="BB1" s="96"/>
    </row>
    <row r="2" spans="2:57" s="62" customFormat="1" x14ac:dyDescent="0.25">
      <c r="B2" s="518" t="s">
        <v>151</v>
      </c>
      <c r="C2" s="518"/>
      <c r="D2" s="518"/>
      <c r="E2" s="518"/>
      <c r="T2" s="518" t="s">
        <v>198</v>
      </c>
      <c r="U2" s="518"/>
      <c r="V2" s="518"/>
      <c r="W2" s="518"/>
      <c r="AK2" s="518" t="s">
        <v>199</v>
      </c>
      <c r="AL2" s="518"/>
      <c r="AM2" s="518"/>
      <c r="AN2" s="518"/>
      <c r="BB2" s="518" t="s">
        <v>200</v>
      </c>
      <c r="BC2" s="518"/>
      <c r="BD2" s="518"/>
      <c r="BE2" s="518"/>
    </row>
    <row r="3" spans="2:57" s="62" customFormat="1" x14ac:dyDescent="0.25"/>
    <row r="4" spans="2:57" s="282" customFormat="1" x14ac:dyDescent="0.25">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25">
      <c r="B5" s="62" t="s">
        <v>164</v>
      </c>
      <c r="C5" s="77">
        <f>ROUND(Sheet1!P4*(1-'Input sheet'!G17/100),0)</f>
        <v>90</v>
      </c>
      <c r="D5" s="77">
        <f>C5</f>
        <v>90</v>
      </c>
      <c r="T5" s="62" t="s">
        <v>164</v>
      </c>
      <c r="U5" s="77">
        <f>ROUND(Sheet1!U4*(1-'Input sheet'!N11/100),0)</f>
        <v>108</v>
      </c>
      <c r="V5" s="77">
        <f>U5</f>
        <v>108</v>
      </c>
      <c r="AK5" s="62" t="s">
        <v>164</v>
      </c>
      <c r="AL5" s="77">
        <f>ROUND((Sheet1!F4+Sheet1!Y4+Sheet1!AB4)*(1-'Input sheet'!L22/100),0)</f>
        <v>54</v>
      </c>
      <c r="AM5" s="77">
        <f>AL5</f>
        <v>54</v>
      </c>
      <c r="BB5" s="62" t="s">
        <v>164</v>
      </c>
      <c r="BC5" s="77">
        <f>ROUND((Sheet1!K4+Sheet1!AE4+Sheet1!AH4)*(1-'Input sheet'!H7/100),0)</f>
        <v>90</v>
      </c>
      <c r="BD5" s="77">
        <f>BC5</f>
        <v>90</v>
      </c>
    </row>
    <row r="6" spans="2:57" s="282" customFormat="1" x14ac:dyDescent="0.25">
      <c r="B6" s="282" t="s">
        <v>167</v>
      </c>
      <c r="C6" s="256">
        <f>Sheet1!P5</f>
        <v>1</v>
      </c>
      <c r="D6" s="256">
        <v>1</v>
      </c>
      <c r="T6" s="282" t="s">
        <v>167</v>
      </c>
      <c r="U6" s="256">
        <f>Sheet1!U5</f>
        <v>1</v>
      </c>
      <c r="V6" s="256">
        <v>1</v>
      </c>
      <c r="AK6" s="282" t="s">
        <v>167</v>
      </c>
      <c r="AL6" s="256">
        <f>Sheet1!F5+Sheet1!Y5+Sheet1!AB5</f>
        <v>1</v>
      </c>
      <c r="AM6" s="256">
        <v>1</v>
      </c>
      <c r="BB6" s="282" t="s">
        <v>167</v>
      </c>
      <c r="BC6" s="256">
        <f>Sheet1!K5+Sheet1!AE5+Sheet1!AH5</f>
        <v>1</v>
      </c>
      <c r="BD6" s="256">
        <v>1</v>
      </c>
    </row>
    <row r="7" spans="2:57" s="62" customFormat="1" x14ac:dyDescent="0.25">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82" customFormat="1" x14ac:dyDescent="0.25">
      <c r="B8" s="282" t="s">
        <v>168</v>
      </c>
      <c r="C8" s="256">
        <f>ROUND(IF(C6=0,0,C5/(C6*C7)),0)</f>
        <v>106</v>
      </c>
      <c r="D8" s="256">
        <f>ROUND(IF(C6=0,D5/(D6*D7),0),0)</f>
        <v>0</v>
      </c>
      <c r="T8" s="282" t="s">
        <v>168</v>
      </c>
      <c r="U8" s="256">
        <f>ROUND(IF(U6=0,0,U5/(U6*U7)),0)</f>
        <v>127</v>
      </c>
      <c r="V8" s="256">
        <f>ROUND(IF(U6=0,V5/(V6*V7),0),0)</f>
        <v>0</v>
      </c>
      <c r="AK8" s="282" t="s">
        <v>168</v>
      </c>
      <c r="AL8" s="256">
        <f>ROUND(IF(AL6=0,0,AL5/(AL6*AL7)),0)</f>
        <v>64</v>
      </c>
      <c r="AM8" s="256">
        <f>ROUND(IF(AL6=0,AM5/(AM6*AM7),0),0)</f>
        <v>0</v>
      </c>
      <c r="BB8" s="282" t="s">
        <v>168</v>
      </c>
      <c r="BC8" s="256">
        <f>ROUND(IF(BC6=0,0,BC5/(BC6*BC7)),0)</f>
        <v>106</v>
      </c>
      <c r="BD8" s="256">
        <f>ROUND(IF(BC6=0,BD5/(BD6*BD7),0),0)</f>
        <v>0</v>
      </c>
    </row>
    <row r="9" spans="2:57" s="62" customFormat="1" x14ac:dyDescent="0.25"/>
    <row r="10" spans="2:57" s="282" customFormat="1" x14ac:dyDescent="0.25">
      <c r="B10" s="287" t="s">
        <v>155</v>
      </c>
      <c r="T10" s="287" t="s">
        <v>155</v>
      </c>
      <c r="AK10" s="287" t="s">
        <v>155</v>
      </c>
      <c r="BB10" s="287" t="s">
        <v>155</v>
      </c>
    </row>
    <row r="11" spans="2:57" s="62" customFormat="1" x14ac:dyDescent="0.25">
      <c r="B11" s="62" t="s">
        <v>165</v>
      </c>
      <c r="C11" s="77">
        <f>Sheet1!N4</f>
        <v>200</v>
      </c>
      <c r="T11" s="62" t="s">
        <v>165</v>
      </c>
      <c r="U11" s="77">
        <f>Sheet1!S4</f>
        <v>250</v>
      </c>
      <c r="AK11" s="62" t="s">
        <v>165</v>
      </c>
      <c r="AL11" s="77">
        <f>Sheet1!D4+Sheet1!W4+Sheet1!Z4</f>
        <v>75</v>
      </c>
      <c r="BB11" s="62" t="s">
        <v>165</v>
      </c>
      <c r="BC11" s="77">
        <f>Sheet1!I4+Sheet1!AC4+Sheet1!AF4</f>
        <v>100</v>
      </c>
    </row>
    <row r="12" spans="2:57" s="282" customFormat="1" x14ac:dyDescent="0.25">
      <c r="B12" s="282" t="s">
        <v>169</v>
      </c>
      <c r="C12" s="256">
        <f>SUM(Sheet1!S4:U4)-Sheet1!S4</f>
        <v>2320</v>
      </c>
      <c r="T12" s="282" t="s">
        <v>169</v>
      </c>
      <c r="U12" s="256">
        <f>SUM(Sheet1!N4:P4)-Sheet1!N4</f>
        <v>2050</v>
      </c>
      <c r="AK12" s="282" t="s">
        <v>169</v>
      </c>
      <c r="AL12" s="256">
        <f>SUM(Sheet1!I4:K4,Sheet1!AC4:AH4)-Sheet1!AF4-Sheet1!AC4-Sheet1!I4</f>
        <v>950</v>
      </c>
      <c r="BB12" s="282" t="s">
        <v>169</v>
      </c>
      <c r="BC12" s="256">
        <f>SUM(Sheet1!D4:F4,Sheet1!W4:AB4)-Sheet1!Z4-Sheet1!W4-Sheet1!D4</f>
        <v>710</v>
      </c>
    </row>
    <row r="13" spans="2:57" s="62" customFormat="1" x14ac:dyDescent="0.25">
      <c r="B13" s="62" t="s">
        <v>170</v>
      </c>
      <c r="C13" s="77">
        <f>Sheet1!N5</f>
        <v>2</v>
      </c>
      <c r="T13" s="62" t="s">
        <v>170</v>
      </c>
      <c r="U13" s="77">
        <f>Sheet1!S5</f>
        <v>2</v>
      </c>
      <c r="AK13" s="62" t="s">
        <v>170</v>
      </c>
      <c r="AL13" s="77">
        <f>Sheet1!D5+Sheet1!W5+Sheet1!Z5</f>
        <v>1</v>
      </c>
      <c r="BB13" s="62" t="s">
        <v>170</v>
      </c>
      <c r="BC13" s="77">
        <f>Sheet1!I5+Sheet1!AC4+Sheet1!AF4</f>
        <v>1</v>
      </c>
    </row>
    <row r="14" spans="2:57" s="282" customFormat="1" x14ac:dyDescent="0.25">
      <c r="B14" s="282" t="s">
        <v>171</v>
      </c>
      <c r="C14" s="256">
        <f>MAX(C18:C21)</f>
        <v>0.92</v>
      </c>
      <c r="D14" s="341">
        <f>IF(OR('Phase designation'!B22=1,'Phase designation'!B22=3),1,0)</f>
        <v>1</v>
      </c>
      <c r="T14" s="282" t="s">
        <v>171</v>
      </c>
      <c r="U14" s="256">
        <f>MAX(U18:U21)</f>
        <v>0.92</v>
      </c>
      <c r="V14" s="341">
        <f>IF(OR('Phase designation'!D22=1,'Phase designation'!D22=3),1,0)</f>
        <v>1</v>
      </c>
      <c r="AK14" s="282" t="s">
        <v>171</v>
      </c>
      <c r="AL14" s="256">
        <f>MAX(AL18:AL21)</f>
        <v>0.95</v>
      </c>
      <c r="AM14" s="341">
        <f>IF(OR('Phase designation'!F22=1,'Phase designation'!F22=3),1,0)</f>
        <v>0</v>
      </c>
      <c r="BB14" s="282" t="s">
        <v>171</v>
      </c>
      <c r="BC14" s="256">
        <f>MAX(BC18:BC21)</f>
        <v>0.95</v>
      </c>
      <c r="BD14" s="341">
        <f>IF(OR('Phase designation'!H22=1,'Phase designation'!H22=3),1,0)</f>
        <v>0</v>
      </c>
    </row>
    <row r="15" spans="2:57" s="62" customFormat="1" x14ac:dyDescent="0.25">
      <c r="B15" s="519" t="s">
        <v>156</v>
      </c>
      <c r="C15" s="77" t="s">
        <v>173</v>
      </c>
      <c r="D15" s="77" t="s">
        <v>174</v>
      </c>
      <c r="E15" s="77" t="s">
        <v>175</v>
      </c>
      <c r="T15" s="519" t="s">
        <v>156</v>
      </c>
      <c r="U15" s="77" t="s">
        <v>173</v>
      </c>
      <c r="V15" s="77" t="s">
        <v>174</v>
      </c>
      <c r="W15" s="77" t="s">
        <v>175</v>
      </c>
      <c r="AK15" s="519" t="s">
        <v>156</v>
      </c>
      <c r="AL15" s="77" t="s">
        <v>173</v>
      </c>
      <c r="AM15" s="77" t="s">
        <v>174</v>
      </c>
      <c r="AN15" s="77" t="s">
        <v>175</v>
      </c>
      <c r="BB15" s="519" t="s">
        <v>156</v>
      </c>
      <c r="BC15" s="77" t="s">
        <v>173</v>
      </c>
      <c r="BD15" s="77" t="s">
        <v>174</v>
      </c>
      <c r="BE15" s="77" t="s">
        <v>175</v>
      </c>
    </row>
    <row r="16" spans="2:57" s="282" customFormat="1" x14ac:dyDescent="0.25">
      <c r="B16" s="519"/>
      <c r="C16" s="293">
        <v>0</v>
      </c>
      <c r="D16" s="293">
        <f>IF(D14=1,D17,0)</f>
        <v>109</v>
      </c>
      <c r="E16" s="293">
        <f>ROUND(IF(OR(C20&gt;0,C21&gt;0),C11/(C13*C14),0),0)</f>
        <v>0</v>
      </c>
      <c r="T16" s="519"/>
      <c r="U16" s="293">
        <v>0</v>
      </c>
      <c r="V16" s="293">
        <f>IF(V14=1,V17,0)</f>
        <v>136</v>
      </c>
      <c r="W16" s="293">
        <f>ROUND(IF(OR(U20&gt;0,U21&gt;0),U11/(U13*U14),0),0)</f>
        <v>0</v>
      </c>
      <c r="AK16" s="519"/>
      <c r="AL16" s="293">
        <v>0</v>
      </c>
      <c r="AM16" s="293">
        <f>IF(AM14=1,AM17,0)</f>
        <v>0</v>
      </c>
      <c r="AN16" s="293">
        <f>ROUND(IF(OR(AL20&gt;0,AL21&gt;0),AL11/(AL13*AL14),0),0)</f>
        <v>0</v>
      </c>
      <c r="BB16" s="519"/>
      <c r="BC16" s="293">
        <v>0</v>
      </c>
      <c r="BD16" s="293">
        <f>IF(BD14=1,BD17,0)</f>
        <v>0</v>
      </c>
      <c r="BE16" s="293">
        <f>ROUND(IF(OR(BC20&gt;0,BC21&gt;0),BC11/(BC13*BC14),0),0)</f>
        <v>0</v>
      </c>
    </row>
    <row r="17" spans="2:57" s="62" customFormat="1" x14ac:dyDescent="0.25">
      <c r="D17" s="292">
        <f>ROUND(IF(OR(C18&gt;0,C19&gt;0),C11/(C13*C14),0),0)</f>
        <v>109</v>
      </c>
      <c r="V17" s="292">
        <f>ROUND(IF(OR(U18&gt;0,U19&gt;0),U11/(U13*U14),0),0)</f>
        <v>136</v>
      </c>
      <c r="AM17" s="292">
        <f>ROUND(IF(OR(AL18&gt;0,AL19&gt;0),AL11/(AL13*AL14),0),0)</f>
        <v>79</v>
      </c>
      <c r="BD17" s="292">
        <f>ROUND(IF(OR(BC18&gt;0,BC19&gt;0),BC11/(BC13*BC14),0),0)</f>
        <v>105</v>
      </c>
    </row>
    <row r="18" spans="2:57" s="62" customFormat="1" x14ac:dyDescent="0.25">
      <c r="B18" s="62" t="s">
        <v>157</v>
      </c>
      <c r="C18" s="62">
        <f>IF(AND(SUM(Sheet1!S5:U5)&gt;0,'Lane volumes'!C13=1),0.95,0)</f>
        <v>0</v>
      </c>
      <c r="T18" s="62" t="s">
        <v>157</v>
      </c>
      <c r="U18" s="62">
        <f>IF(AND(SUM(Sheet1!N5:P5)&gt;0,'Lane volumes'!U13=1),0.95,0)</f>
        <v>0</v>
      </c>
      <c r="AK18" s="62" t="s">
        <v>157</v>
      </c>
      <c r="AL18" s="62">
        <f>IF(AND(SUM(Sheet1!I5:K5,Sheet1!AC5:AE5,Sheet1!AF5:AH5)&gt;0,'Lane volumes'!AL13=1),0.95,0)</f>
        <v>0.95</v>
      </c>
      <c r="BB18" s="62" t="s">
        <v>157</v>
      </c>
      <c r="BC18" s="62">
        <f>IF(AND(SUM(Sheet1!D5:F5,Sheet1!W5:Y5,Sheet1!Z5:AB5)&gt;0,'Lane volumes'!BC13=1),0.95,0)</f>
        <v>0.95</v>
      </c>
    </row>
    <row r="19" spans="2:57" s="62" customFormat="1" x14ac:dyDescent="0.25">
      <c r="B19" s="62" t="s">
        <v>160</v>
      </c>
      <c r="C19" s="62">
        <f>IF(AND(SUM(Sheet1!S5:U5)&gt;0,'Lane volumes'!C13&gt;=2),0.92,0)</f>
        <v>0.92</v>
      </c>
      <c r="T19" s="62" t="s">
        <v>160</v>
      </c>
      <c r="U19" s="62">
        <f>IF(AND(SUM(Sheet1!N5:P5)&gt;0,'Lane volumes'!U13&gt;=2),0.92,0)</f>
        <v>0.92</v>
      </c>
      <c r="AK19" s="62" t="s">
        <v>160</v>
      </c>
      <c r="AL19" s="62">
        <f>IF(AND(SUM(Sheet1!I5:K5,Sheet1!AC5:AE5,Sheet1!AF5:AH5)&gt;0,'Lane volumes'!AL13&gt;=2),0.92,0)</f>
        <v>0</v>
      </c>
      <c r="BB19" s="62" t="s">
        <v>160</v>
      </c>
      <c r="BC19" s="62">
        <f>IF(AND(SUM(Sheet1!D5:F5,Sheet1!W5:Y5,Sheet1!Z5:AB5)&gt;0,'Lane volumes'!BC13&gt;=2),0.92,0)</f>
        <v>0</v>
      </c>
    </row>
    <row r="20" spans="2:57" s="62" customFormat="1" x14ac:dyDescent="0.25">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25">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25"/>
    <row r="23" spans="2:57" s="282" customFormat="1" x14ac:dyDescent="0.25">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25">
      <c r="B24" s="62" t="s">
        <v>193</v>
      </c>
      <c r="C24" s="77">
        <f>IF(AND('Phase designation'!B22=2,E16=0),Sheet1!O4,0)</f>
        <v>0</v>
      </c>
      <c r="D24" s="77">
        <f>IF(OR('Phase designation'!B22=1,'Phase designation'!B22=3),Sheet1!O4,0)</f>
        <v>1950</v>
      </c>
      <c r="E24" s="77">
        <f>IF(OR(C20&gt;0,C21&gt;0),Sheet1!O4,0)</f>
        <v>0</v>
      </c>
      <c r="T24" s="62" t="s">
        <v>193</v>
      </c>
      <c r="U24" s="77">
        <f>IF(AND('Phase designation'!D22=2,W16=0),Sheet1!T4,0)</f>
        <v>0</v>
      </c>
      <c r="V24" s="77">
        <f>IF(OR('Phase designation'!D22=1,'Phase designation'!D22=3),Sheet1!T4,0)</f>
        <v>2200</v>
      </c>
      <c r="W24" s="77">
        <f>IF(OR(U20&gt;0,U21&gt;0),Sheet1!T4,0)</f>
        <v>0</v>
      </c>
      <c r="AK24" s="62" t="s">
        <v>193</v>
      </c>
      <c r="AL24" s="77">
        <f>IF(AND('Phase designation'!F22=2,AN16=0),Sheet1!E4+Sheet1!X4+Sheet1!AA4,0)</f>
        <v>650</v>
      </c>
      <c r="AM24" s="77">
        <f>IF(OR('Phase designation'!F22=1,'Phase designation'!F22=3),Sheet1!E4+Sheet1!X4+Sheet1!AA4,0)</f>
        <v>0</v>
      </c>
      <c r="AN24" s="77">
        <f>IF(OR(AL20&gt;0,AL21&gt;0),Sheet1!E4+Sheet1!X4+Sheet1!AA4,0)</f>
        <v>0</v>
      </c>
      <c r="BB24" s="62" t="s">
        <v>193</v>
      </c>
      <c r="BC24" s="77">
        <f>IF(AND('Phase designation'!H22=2,BE16=0),Sheet1!J4+Sheet1!AD4+Sheet1!AG4,0)</f>
        <v>850</v>
      </c>
      <c r="BD24" s="77">
        <f>IF(OR('Phase designation'!H22=1,'Phase designation'!H22=3),Sheet1!J4+Sheet1!AD4+Sheet1!AG4,0)</f>
        <v>0</v>
      </c>
      <c r="BE24" s="77">
        <f>IF(OR(BC20&gt;0,BC21&gt;0),Sheet1!J4+Sheet1!AD4+Sheet1!AG4,0)</f>
        <v>0</v>
      </c>
    </row>
    <row r="25" spans="2:57" s="282" customFormat="1" x14ac:dyDescent="0.25">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25">
      <c r="B26" s="62" t="s">
        <v>163</v>
      </c>
      <c r="C26" s="77">
        <f>Sheet1!O5</f>
        <v>3</v>
      </c>
      <c r="D26" s="77">
        <f>C26</f>
        <v>3</v>
      </c>
      <c r="E26" s="77">
        <f>C26</f>
        <v>3</v>
      </c>
      <c r="T26" s="62" t="s">
        <v>163</v>
      </c>
      <c r="U26" s="77">
        <f>Sheet1!T5</f>
        <v>3</v>
      </c>
      <c r="V26" s="77">
        <f>U26</f>
        <v>3</v>
      </c>
      <c r="W26" s="77">
        <f>U26</f>
        <v>3</v>
      </c>
      <c r="AK26" s="62" t="s">
        <v>163</v>
      </c>
      <c r="AL26" s="77">
        <f>Sheet1!E5+Sheet1!X5+Sheet1!AA5</f>
        <v>2</v>
      </c>
      <c r="AM26" s="77">
        <f>AL26</f>
        <v>2</v>
      </c>
      <c r="AN26" s="77">
        <f>AL26</f>
        <v>2</v>
      </c>
      <c r="BB26" s="62" t="s">
        <v>163</v>
      </c>
      <c r="BC26" s="77">
        <f>Sheet1!J5+Sheet1!AD5+Sheet1!AG5</f>
        <v>2</v>
      </c>
      <c r="BD26" s="77">
        <f>BC26</f>
        <v>2</v>
      </c>
      <c r="BE26" s="77">
        <f>BC26</f>
        <v>2</v>
      </c>
    </row>
    <row r="27" spans="2:57" s="282" customFormat="1" x14ac:dyDescent="0.25">
      <c r="B27" s="282" t="s">
        <v>162</v>
      </c>
      <c r="C27" s="256">
        <f>IF(C24=0,0,(D8+C24)/C25)</f>
        <v>0</v>
      </c>
      <c r="D27" s="256">
        <f>IF(D24=0,0,(D8+D24)/D25)</f>
        <v>1950</v>
      </c>
      <c r="E27" s="256">
        <f>IF(E24=0,0,(D8+E24+E16)/E25)</f>
        <v>0</v>
      </c>
      <c r="T27" s="282" t="s">
        <v>162</v>
      </c>
      <c r="U27" s="256">
        <f>IF(U24=0,0,(V8+U24)/U25)</f>
        <v>0</v>
      </c>
      <c r="V27" s="256">
        <f>IF(V24=0,0,(V8+V24)/V25)</f>
        <v>2200</v>
      </c>
      <c r="W27" s="256">
        <f>IF(W24=0,0,(V8+W24+W16)/W25)</f>
        <v>0</v>
      </c>
      <c r="AK27" s="282" t="s">
        <v>162</v>
      </c>
      <c r="AL27" s="256">
        <f>IF(AL24=0,0,(AM8+AL24)/AL25)</f>
        <v>650</v>
      </c>
      <c r="AM27" s="256">
        <f>IF(AM24=0,0,(AM8+AM24)/AM25)</f>
        <v>0</v>
      </c>
      <c r="AN27" s="256">
        <f>IF(AN24=0,0,(AM8+AN24+AN16)/AN25)</f>
        <v>0</v>
      </c>
      <c r="BB27" s="282" t="s">
        <v>162</v>
      </c>
      <c r="BC27" s="256">
        <f>IF(BC24=0,0,(BD8+BC24)/BC25)</f>
        <v>850</v>
      </c>
      <c r="BD27" s="256">
        <f>IF(BD24=0,0,(BD8+BD24)/BD25)</f>
        <v>0</v>
      </c>
      <c r="BE27" s="256">
        <f>IF(BE24=0,0,(BD8+BE24+BE16)/BE25)</f>
        <v>0</v>
      </c>
    </row>
    <row r="28" spans="2:57" s="62" customFormat="1" x14ac:dyDescent="0.25"/>
    <row r="29" spans="2:57" s="282" customFormat="1" ht="30" customHeight="1" x14ac:dyDescent="0.25">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25">
      <c r="B30" s="62" t="s">
        <v>178</v>
      </c>
      <c r="C30" s="77">
        <f>IF(C26&gt;0,ROUND(C27/C26,0),0)</f>
        <v>0</v>
      </c>
      <c r="D30" s="77">
        <f>IF(D26&gt;0,ROUND(D27/D26,0),0)</f>
        <v>650</v>
      </c>
      <c r="E30" s="77">
        <f>IF(E26&gt;0,ROUND(E27/E26,0),0)</f>
        <v>0</v>
      </c>
      <c r="T30" s="62" t="s">
        <v>178</v>
      </c>
      <c r="U30" s="77">
        <f>IF(U26&gt;0,ROUND(U27/U26,0),0)</f>
        <v>0</v>
      </c>
      <c r="V30" s="77">
        <f>IF(V26&gt;0,ROUND(V27/V26,0),0)</f>
        <v>733</v>
      </c>
      <c r="W30" s="77">
        <f>IF(W26&gt;0,ROUND(W27/W26,0),0)</f>
        <v>0</v>
      </c>
      <c r="AK30" s="62" t="s">
        <v>178</v>
      </c>
      <c r="AL30" s="77">
        <f>IF(AL26&gt;0,ROUND(AL27/AL26,0),0)</f>
        <v>325</v>
      </c>
      <c r="AM30" s="77">
        <f>IF(AM26&gt;0,ROUND(AM27/AM26,0),0)</f>
        <v>0</v>
      </c>
      <c r="AN30" s="77">
        <f>IF(AN26&gt;0,ROUND(AN27/AN26,0),0)</f>
        <v>0</v>
      </c>
      <c r="BB30" s="62" t="s">
        <v>178</v>
      </c>
      <c r="BC30" s="77">
        <f>IF(BC26&gt;0,ROUND(BC27/BC26,0),0)</f>
        <v>425</v>
      </c>
      <c r="BD30" s="77">
        <f>IF(BD26&gt;0,ROUND(BD27/BD26,0),0)</f>
        <v>0</v>
      </c>
      <c r="BE30" s="77">
        <f>IF(BE26&gt;0,ROUND(BE27/BE26,0),0)</f>
        <v>0</v>
      </c>
    </row>
    <row r="31" spans="2:57" s="282" customFormat="1" ht="30" customHeight="1" x14ac:dyDescent="0.25">
      <c r="B31" s="295" t="s">
        <v>177</v>
      </c>
      <c r="C31" s="293">
        <f>IF(C30=0,0,MAX(C30,C8,E16))</f>
        <v>0</v>
      </c>
      <c r="D31" s="293">
        <f>IF(D30=0,0,MAX(D30,C8,E16))</f>
        <v>650</v>
      </c>
      <c r="E31" s="293">
        <f>IF(E30=0,0,MAX(E30,C8,E16))</f>
        <v>0</v>
      </c>
      <c r="T31" s="295" t="s">
        <v>177</v>
      </c>
      <c r="U31" s="293">
        <f>IF(U30=0,0,MAX(U30,U8,W16))</f>
        <v>0</v>
      </c>
      <c r="V31" s="293">
        <f>IF(V30=0,0,MAX(V30,U8,W16))</f>
        <v>733</v>
      </c>
      <c r="W31" s="293">
        <f>IF(W30=0,0,MAX(W30,U8,W16))</f>
        <v>0</v>
      </c>
      <c r="AK31" s="295" t="s">
        <v>177</v>
      </c>
      <c r="AL31" s="293">
        <f>IF(AL30=0,0,MAX(AL30,AL8,AN16))</f>
        <v>325</v>
      </c>
      <c r="AM31" s="293">
        <f>IF(AM30=0,0,MAX(AM30,AL8,AN16))</f>
        <v>0</v>
      </c>
      <c r="AN31" s="293">
        <f>IF(AN30=0,0,MAX(AN30,AL8,AN16))</f>
        <v>0</v>
      </c>
      <c r="BB31" s="295" t="s">
        <v>177</v>
      </c>
      <c r="BC31" s="293">
        <f>IF(BC30=0,0,MAX(BC30,BC8,BE16))</f>
        <v>425</v>
      </c>
      <c r="BD31" s="293">
        <f>IF(BD30=0,0,MAX(BD30,BC8,BE16))</f>
        <v>0</v>
      </c>
      <c r="BE31" s="293">
        <f>IF(BE30=0,0,MAX(BE30,BC8,BE16))</f>
        <v>0</v>
      </c>
    </row>
    <row r="32" spans="2:57" s="62" customFormat="1" x14ac:dyDescent="0.25"/>
    <row r="33" spans="2:69" s="282" customFormat="1" ht="30" customHeight="1" x14ac:dyDescent="0.25">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25">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25">
      <c r="B35" s="282" t="s">
        <v>181</v>
      </c>
      <c r="C35" s="256" t="e">
        <f>IF(Sheet1!O6=0,INDEX(C42:Q43,2,C44+1),INDEX(C42:Q43,1,C44+1))</f>
        <v>#REF!</v>
      </c>
      <c r="D35" s="256">
        <v>0</v>
      </c>
      <c r="E35" s="256">
        <v>0</v>
      </c>
      <c r="T35" s="282" t="s">
        <v>181</v>
      </c>
      <c r="U35" s="256" t="e">
        <f>IF(Sheet1!T6=0,INDEX(U42:AI43,2,U44+1),INDEX(U42:AI43,1,U44+1))</f>
        <v>#REF!</v>
      </c>
      <c r="V35" s="256">
        <v>0</v>
      </c>
      <c r="W35" s="256">
        <v>0</v>
      </c>
      <c r="AK35" s="282" t="s">
        <v>181</v>
      </c>
      <c r="AL35" s="256">
        <f>IF(Sheet1!E6=0,INDEX(AL42:AZ43,2,AL44+1),INDEX(AL42:AZ43,1,AL44+1))</f>
        <v>3.3</v>
      </c>
      <c r="AM35" s="256">
        <v>0</v>
      </c>
      <c r="AN35" s="256">
        <v>0</v>
      </c>
      <c r="BB35" s="282" t="s">
        <v>181</v>
      </c>
      <c r="BC35" s="256">
        <f>IF(Sheet1!J6=0,INDEX(BC42:BQ43,2,BC44+1),INDEX(BC42:BQ43,1,BC44+1))</f>
        <v>2.8</v>
      </c>
      <c r="BD35" s="256">
        <v>0</v>
      </c>
      <c r="BE35" s="256">
        <v>0</v>
      </c>
    </row>
    <row r="36" spans="2:69" s="62" customFormat="1" x14ac:dyDescent="0.25">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25">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25">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25"/>
    <row r="40" spans="2:69" s="62" customFormat="1" hidden="1" x14ac:dyDescent="0.25">
      <c r="C40" s="520" t="s">
        <v>184</v>
      </c>
      <c r="D40" s="520"/>
      <c r="E40" s="520"/>
      <c r="F40" s="520"/>
      <c r="G40" s="520"/>
      <c r="H40" s="520"/>
      <c r="I40" s="520"/>
      <c r="U40" s="520" t="s">
        <v>184</v>
      </c>
      <c r="V40" s="520"/>
      <c r="W40" s="520"/>
      <c r="X40" s="520"/>
      <c r="Y40" s="520"/>
      <c r="Z40" s="520"/>
      <c r="AA40" s="520"/>
      <c r="AL40" s="520" t="s">
        <v>184</v>
      </c>
      <c r="AM40" s="520"/>
      <c r="AN40" s="520"/>
      <c r="AO40" s="520"/>
      <c r="AP40" s="520"/>
      <c r="AQ40" s="520"/>
      <c r="AR40" s="520"/>
      <c r="BC40" s="520" t="s">
        <v>184</v>
      </c>
      <c r="BD40" s="520"/>
      <c r="BE40" s="520"/>
      <c r="BF40" s="520"/>
      <c r="BG40" s="520"/>
      <c r="BH40" s="520"/>
      <c r="BI40" s="520"/>
    </row>
    <row r="41" spans="2:69" s="62" customFormat="1" hidden="1" x14ac:dyDescent="0.25">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25">
      <c r="B42" s="62" t="s">
        <v>37</v>
      </c>
      <c r="C42" s="77">
        <v>1.4</v>
      </c>
      <c r="D42" s="77">
        <v>1.7</v>
      </c>
      <c r="E42" s="77">
        <v>2.1</v>
      </c>
      <c r="F42" s="77">
        <v>2.5</v>
      </c>
      <c r="G42" s="77">
        <v>3.1</v>
      </c>
      <c r="H42" s="77">
        <v>3.7</v>
      </c>
      <c r="I42" s="77">
        <v>4.5</v>
      </c>
      <c r="J42" s="77">
        <f>ROUND((1750/J44)-J46,2)</f>
        <v>13.67</v>
      </c>
      <c r="K42" s="77">
        <f t="shared" ref="K42:Q42" si="0">ROUND((1750/K44)-K46,2)</f>
        <v>13.67</v>
      </c>
      <c r="L42" s="77">
        <f t="shared" si="0"/>
        <v>13.67</v>
      </c>
      <c r="M42" s="77">
        <f t="shared" si="0"/>
        <v>13.67</v>
      </c>
      <c r="N42" s="77">
        <f t="shared" si="0"/>
        <v>13.67</v>
      </c>
      <c r="O42" s="77">
        <f t="shared" si="0"/>
        <v>13.67</v>
      </c>
      <c r="P42" s="77">
        <f t="shared" si="0"/>
        <v>13.67</v>
      </c>
      <c r="Q42" s="77">
        <f t="shared" si="0"/>
        <v>13.67</v>
      </c>
      <c r="T42" s="62" t="s">
        <v>37</v>
      </c>
      <c r="U42" s="77">
        <v>1.4</v>
      </c>
      <c r="V42" s="77">
        <v>1.7</v>
      </c>
      <c r="W42" s="77">
        <v>2.1</v>
      </c>
      <c r="X42" s="77">
        <v>2.5</v>
      </c>
      <c r="Y42" s="77">
        <v>3.1</v>
      </c>
      <c r="Z42" s="77">
        <v>3.7</v>
      </c>
      <c r="AA42" s="77">
        <v>4.5</v>
      </c>
      <c r="AB42" s="77">
        <f>ROUND((1750/AB44)-AB46,2)</f>
        <v>11.08</v>
      </c>
      <c r="AC42" s="77">
        <f t="shared" ref="AC42:AI42" si="1">ROUND((1750/AC44)-AC46,2)</f>
        <v>11.08</v>
      </c>
      <c r="AD42" s="77">
        <f t="shared" si="1"/>
        <v>11.08</v>
      </c>
      <c r="AE42" s="77">
        <f t="shared" si="1"/>
        <v>11.08</v>
      </c>
      <c r="AF42" s="77">
        <f t="shared" si="1"/>
        <v>11.08</v>
      </c>
      <c r="AG42" s="77">
        <f t="shared" si="1"/>
        <v>11.08</v>
      </c>
      <c r="AH42" s="77">
        <f t="shared" si="1"/>
        <v>11.08</v>
      </c>
      <c r="AI42" s="77">
        <f t="shared" si="1"/>
        <v>11.08</v>
      </c>
      <c r="AK42" s="62" t="s">
        <v>37</v>
      </c>
      <c r="AL42" s="77">
        <v>1.4</v>
      </c>
      <c r="AM42" s="77">
        <v>1.7</v>
      </c>
      <c r="AN42" s="77">
        <v>2.1</v>
      </c>
      <c r="AO42" s="77">
        <v>2.5</v>
      </c>
      <c r="AP42" s="77">
        <v>3.1</v>
      </c>
      <c r="AQ42" s="77">
        <v>3.7</v>
      </c>
      <c r="AR42" s="77">
        <v>4.5</v>
      </c>
      <c r="AS42" s="77">
        <f>ROUND((1750/AS44)-AS46,2)</f>
        <v>6.03</v>
      </c>
      <c r="AT42" s="77">
        <f t="shared" ref="AT42:AZ42" si="2">ROUND((1750/AT44)-AT46,2)</f>
        <v>6.03</v>
      </c>
      <c r="AU42" s="77">
        <f t="shared" si="2"/>
        <v>6.03</v>
      </c>
      <c r="AV42" s="77">
        <f t="shared" si="2"/>
        <v>6.03</v>
      </c>
      <c r="AW42" s="77">
        <f t="shared" si="2"/>
        <v>6.03</v>
      </c>
      <c r="AX42" s="77">
        <f t="shared" si="2"/>
        <v>6.03</v>
      </c>
      <c r="AY42" s="77">
        <f t="shared" si="2"/>
        <v>6.03</v>
      </c>
      <c r="AZ42" s="77">
        <f t="shared" si="2"/>
        <v>6.03</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x14ac:dyDescent="0.25">
      <c r="B43" s="62" t="s">
        <v>183</v>
      </c>
      <c r="C43" s="77">
        <v>1.3</v>
      </c>
      <c r="D43" s="77">
        <v>1.6</v>
      </c>
      <c r="E43" s="77">
        <v>1.9</v>
      </c>
      <c r="F43" s="77">
        <v>2.2999999999999998</v>
      </c>
      <c r="G43" s="77">
        <v>2.8</v>
      </c>
      <c r="H43" s="77">
        <v>3.3</v>
      </c>
      <c r="I43" s="77">
        <v>4</v>
      </c>
      <c r="J43" s="77">
        <f>ROUND((1750/J44)-J46,2)</f>
        <v>13.67</v>
      </c>
      <c r="K43" s="77">
        <f t="shared" ref="K43:Q43" si="4">ROUND((1750/K44)-K46,2)</f>
        <v>13.67</v>
      </c>
      <c r="L43" s="77">
        <f t="shared" si="4"/>
        <v>13.67</v>
      </c>
      <c r="M43" s="77">
        <f t="shared" si="4"/>
        <v>13.67</v>
      </c>
      <c r="N43" s="77">
        <f t="shared" si="4"/>
        <v>13.67</v>
      </c>
      <c r="O43" s="77">
        <f t="shared" si="4"/>
        <v>13.67</v>
      </c>
      <c r="P43" s="77">
        <f t="shared" si="4"/>
        <v>13.67</v>
      </c>
      <c r="Q43" s="77">
        <f t="shared" si="4"/>
        <v>13.67</v>
      </c>
      <c r="T43" s="62" t="s">
        <v>183</v>
      </c>
      <c r="U43" s="77">
        <v>1.3</v>
      </c>
      <c r="V43" s="77">
        <v>1.6</v>
      </c>
      <c r="W43" s="77">
        <v>1.9</v>
      </c>
      <c r="X43" s="77">
        <v>2.2999999999999998</v>
      </c>
      <c r="Y43" s="77">
        <v>2.8</v>
      </c>
      <c r="Z43" s="77">
        <v>3.3</v>
      </c>
      <c r="AA43" s="77">
        <v>4</v>
      </c>
      <c r="AB43" s="77">
        <f t="shared" ref="AB43:AI43" si="5">ROUND((1750/AB44)-AB46,2)</f>
        <v>11.08</v>
      </c>
      <c r="AC43" s="77">
        <f t="shared" si="5"/>
        <v>11.08</v>
      </c>
      <c r="AD43" s="77">
        <f t="shared" si="5"/>
        <v>11.08</v>
      </c>
      <c r="AE43" s="77">
        <f t="shared" si="5"/>
        <v>11.08</v>
      </c>
      <c r="AF43" s="77">
        <f t="shared" si="5"/>
        <v>11.08</v>
      </c>
      <c r="AG43" s="77">
        <f t="shared" si="5"/>
        <v>11.08</v>
      </c>
      <c r="AH43" s="77">
        <f t="shared" si="5"/>
        <v>11.08</v>
      </c>
      <c r="AI43" s="77">
        <f t="shared" si="5"/>
        <v>11.08</v>
      </c>
      <c r="AK43" s="62" t="s">
        <v>183</v>
      </c>
      <c r="AL43" s="77">
        <v>1.3</v>
      </c>
      <c r="AM43" s="77">
        <v>1.6</v>
      </c>
      <c r="AN43" s="77">
        <v>1.9</v>
      </c>
      <c r="AO43" s="77">
        <v>2.2999999999999998</v>
      </c>
      <c r="AP43" s="77">
        <v>2.8</v>
      </c>
      <c r="AQ43" s="77">
        <v>3.3</v>
      </c>
      <c r="AR43" s="77">
        <v>4</v>
      </c>
      <c r="AS43" s="77">
        <f t="shared" ref="AS43:AZ43" si="6">ROUND((1750/AS44)-AS46,2)</f>
        <v>6.03</v>
      </c>
      <c r="AT43" s="77">
        <f t="shared" si="6"/>
        <v>6.03</v>
      </c>
      <c r="AU43" s="77">
        <f t="shared" si="6"/>
        <v>6.03</v>
      </c>
      <c r="AV43" s="77">
        <f t="shared" si="6"/>
        <v>6.03</v>
      </c>
      <c r="AW43" s="77">
        <f t="shared" si="6"/>
        <v>6.03</v>
      </c>
      <c r="AX43" s="77">
        <f t="shared" si="6"/>
        <v>6.03</v>
      </c>
      <c r="AY43" s="77">
        <f t="shared" si="6"/>
        <v>6.03</v>
      </c>
      <c r="AZ43" s="77">
        <f t="shared" si="6"/>
        <v>6.03</v>
      </c>
      <c r="BB43" s="62" t="s">
        <v>183</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x14ac:dyDescent="0.25">
      <c r="C44" s="292">
        <f>IF(C12&gt;0,MATCH($C$12,$C$41:$Q$41),0)</f>
        <v>15</v>
      </c>
      <c r="I44" s="77" t="s">
        <v>186</v>
      </c>
      <c r="J44" s="77">
        <f>ROUND(($C$12*EXP(-1*$C$12*4.5/3600))/(1-EXP(-1*$C$12*J45)),0)</f>
        <v>128</v>
      </c>
      <c r="K44" s="77">
        <f t="shared" ref="K44:Q44" si="8">ROUND(($C$12*EXP(-1*$C$12*4.5/3600))/(1-EXP(-1*$C$12*K45)),0)</f>
        <v>128</v>
      </c>
      <c r="L44" s="77">
        <f t="shared" si="8"/>
        <v>128</v>
      </c>
      <c r="M44" s="77">
        <f t="shared" si="8"/>
        <v>128</v>
      </c>
      <c r="N44" s="77">
        <f t="shared" si="8"/>
        <v>128</v>
      </c>
      <c r="O44" s="77">
        <f t="shared" si="8"/>
        <v>128</v>
      </c>
      <c r="P44" s="77">
        <f t="shared" si="8"/>
        <v>128</v>
      </c>
      <c r="Q44" s="77">
        <f t="shared" si="8"/>
        <v>128</v>
      </c>
      <c r="U44" s="292">
        <f>IF(U12&gt;0,MATCH($U$12,$U$41:$AI$41),0)</f>
        <v>15</v>
      </c>
      <c r="AA44" s="77" t="s">
        <v>186</v>
      </c>
      <c r="AB44" s="77">
        <f>ROUND(($U$12*EXP(-1*$U$12*4.5/3600))/(1-EXP(-1*$U$12*AB45)),0)</f>
        <v>158</v>
      </c>
      <c r="AC44" s="77">
        <f t="shared" ref="AC44:AI44" si="9">ROUND(($U$12*EXP(-1*$U$12*4.5/3600))/(1-EXP(-1*$U$12*AC45)),0)</f>
        <v>158</v>
      </c>
      <c r="AD44" s="77">
        <f t="shared" si="9"/>
        <v>158</v>
      </c>
      <c r="AE44" s="77">
        <f t="shared" si="9"/>
        <v>158</v>
      </c>
      <c r="AF44" s="77">
        <f t="shared" si="9"/>
        <v>158</v>
      </c>
      <c r="AG44" s="77">
        <f t="shared" si="9"/>
        <v>158</v>
      </c>
      <c r="AH44" s="77">
        <f t="shared" si="9"/>
        <v>158</v>
      </c>
      <c r="AI44" s="77">
        <f t="shared" si="9"/>
        <v>158</v>
      </c>
      <c r="AL44" s="292">
        <f>IF(AL12&gt;0,MATCH($AL$12,$AL$41:$AZ$41),0)</f>
        <v>5</v>
      </c>
      <c r="AR44" s="77" t="s">
        <v>186</v>
      </c>
      <c r="AS44" s="77">
        <f>ROUND(($AL$12*EXP(-1*$AL$12*4.5/3600))/(1-EXP(-1*$AL$12*AS45)),0)</f>
        <v>290</v>
      </c>
      <c r="AT44" s="77">
        <f t="shared" ref="AT44:AZ44" si="10">ROUND(($AL$12*EXP(-1*$AL$12*4.5/3600))/(1-EXP(-1*$AL$12*AT45)),0)</f>
        <v>290</v>
      </c>
      <c r="AU44" s="77">
        <f t="shared" si="10"/>
        <v>290</v>
      </c>
      <c r="AV44" s="77">
        <f t="shared" si="10"/>
        <v>290</v>
      </c>
      <c r="AW44" s="77">
        <f t="shared" si="10"/>
        <v>290</v>
      </c>
      <c r="AX44" s="77">
        <f t="shared" si="10"/>
        <v>290</v>
      </c>
      <c r="AY44" s="77">
        <f t="shared" si="10"/>
        <v>290</v>
      </c>
      <c r="AZ44" s="77">
        <f t="shared" si="10"/>
        <v>290</v>
      </c>
      <c r="BC44" s="292">
        <f>IF(BC12&gt;0,MATCH($BC$12,$BC$41:$BQ$41),0)</f>
        <v>4</v>
      </c>
      <c r="BI44" s="77" t="s">
        <v>186</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x14ac:dyDescent="0.25">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25">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25"/>
    <row r="48" spans="2:69" s="62" customFormat="1" hidden="1" x14ac:dyDescent="0.25">
      <c r="B48" s="519" t="s">
        <v>192</v>
      </c>
      <c r="C48" s="62" t="s">
        <v>189</v>
      </c>
      <c r="D48" s="62" t="e">
        <f>IF(C13&gt;=2,((C26-1)+EXP(-1*C26*C11*C35/600))/C26,0)</f>
        <v>#REF!</v>
      </c>
      <c r="T48" s="519" t="s">
        <v>192</v>
      </c>
      <c r="U48" s="62" t="s">
        <v>189</v>
      </c>
      <c r="V48" s="62" t="e">
        <f>IF(U13&gt;=2,((U26-1)+EXP(-1*U26*U11*U35/600))/U26,0)</f>
        <v>#REF!</v>
      </c>
      <c r="AK48" s="519" t="s">
        <v>192</v>
      </c>
      <c r="AL48" s="62" t="s">
        <v>189</v>
      </c>
      <c r="AM48" s="62">
        <f>IF(AL13&gt;=2,((AL26-1)+EXP(-1*AL26*AL11*AL35/600))/AL26,0)</f>
        <v>0</v>
      </c>
      <c r="BB48" s="519" t="s">
        <v>192</v>
      </c>
      <c r="BC48" s="62" t="s">
        <v>189</v>
      </c>
      <c r="BD48" s="62">
        <f>IF(BC13&gt;=2,((BC26-1)+EXP(-1*BC26*BC11*BC35/600))/BC26,0)</f>
        <v>0</v>
      </c>
    </row>
    <row r="49" spans="2:57" s="62" customFormat="1" hidden="1" x14ac:dyDescent="0.25">
      <c r="B49" s="519"/>
      <c r="C49" s="62" t="s">
        <v>190</v>
      </c>
      <c r="D49" s="62">
        <f>IF(SUM(Sheet1!N5:P5)=1,EXP(-0.02*(C35+10*C34)*C11*0.0444),0)</f>
        <v>0</v>
      </c>
      <c r="E49" s="62">
        <f>IF('Phase designation'!B22=2,MAX('Lane volumes'!D48:D50),1)</f>
        <v>1</v>
      </c>
      <c r="T49" s="519"/>
      <c r="U49" s="62" t="s">
        <v>190</v>
      </c>
      <c r="V49" s="62">
        <f>IF(SUM(Sheet1!S5:U5)=1,EXP(-0.02*(U35+10*U34)*U11*0.0444),0)</f>
        <v>0</v>
      </c>
      <c r="W49" s="62">
        <f>IF('Phase designation'!T22=2,MAX('Lane volumes'!V48:V50),1)</f>
        <v>1</v>
      </c>
      <c r="AK49" s="519"/>
      <c r="AL49" s="62" t="s">
        <v>190</v>
      </c>
      <c r="AM49" s="62">
        <f>IF(SUM(Sheet1!D5:F5)=1,EXP(-0.02*(AL35+10*AL34)*AL11*0.0444),0)</f>
        <v>0</v>
      </c>
      <c r="AN49" s="62">
        <f>IF('Phase designation'!F22=2,MAX('Lane volumes'!AM48:AM50),1)</f>
        <v>0.5178965525338276</v>
      </c>
      <c r="BB49" s="519"/>
      <c r="BC49" s="62" t="s">
        <v>190</v>
      </c>
      <c r="BD49" s="62">
        <f>IF(SUM(Sheet1!I5:K5)=1,EXP(-0.02*(BC35+10*BC34)*BC11*0.0444),0)</f>
        <v>0</v>
      </c>
      <c r="BE49" s="62">
        <f>IF('Phase designation'!H22=2,MAX('Lane volumes'!BD48:BD50),1)</f>
        <v>0.50589796925987573</v>
      </c>
    </row>
    <row r="50" spans="2:57" s="62" customFormat="1" hidden="1" x14ac:dyDescent="0.25">
      <c r="B50" s="519"/>
      <c r="C50" s="62" t="s">
        <v>191</v>
      </c>
      <c r="D50" s="62">
        <f>((C26-1)+EXP(-1*C11*0.0444))/C26</f>
        <v>0.66671304805518716</v>
      </c>
      <c r="T50" s="519"/>
      <c r="U50" s="62" t="s">
        <v>191</v>
      </c>
      <c r="V50" s="62">
        <f>((U26-1)+EXP(-1*U11*0.0444))/U26</f>
        <v>0.66667170410793997</v>
      </c>
      <c r="AK50" s="519"/>
      <c r="AL50" s="62" t="s">
        <v>191</v>
      </c>
      <c r="AM50" s="62">
        <f>((AL26-1)+EXP(-1*AL11*0.0444))/AL26</f>
        <v>0.5178965525338276</v>
      </c>
      <c r="BB50" s="519"/>
      <c r="BC50" s="62" t="s">
        <v>191</v>
      </c>
      <c r="BD50" s="62">
        <f>((BC26-1)+EXP(-1*BC11*0.0444))/BC26</f>
        <v>0.50589796925987573</v>
      </c>
    </row>
    <row r="51" spans="2:57" s="62" customFormat="1" hidden="1" x14ac:dyDescent="0.25"/>
    <row r="52" spans="2:57" s="62" customFormat="1" hidden="1" x14ac:dyDescent="0.25">
      <c r="B52" s="519" t="s">
        <v>194</v>
      </c>
      <c r="C52" s="62" t="s">
        <v>195</v>
      </c>
      <c r="D52" s="62">
        <f>IF(C12&lt;1220,1/(1+(C34*(235+0.435*C12)/(1400-C12))),0)</f>
        <v>0</v>
      </c>
      <c r="E52" s="62">
        <f>IF('Phase designation'!B22=3,MAX('Lane volumes'!D52:D53),1)</f>
        <v>1</v>
      </c>
      <c r="T52" s="519" t="s">
        <v>194</v>
      </c>
      <c r="U52" s="62" t="s">
        <v>195</v>
      </c>
      <c r="V52" s="62">
        <f>IF(U12&lt;1220,1/(1+(U34*(235+0.435*U12)/(1400-U12))),0)</f>
        <v>0</v>
      </c>
      <c r="W52" s="62">
        <f>IF('Phase designation'!T22=3,MAX('Lane volumes'!V52:V53),1)</f>
        <v>1</v>
      </c>
      <c r="AK52" s="519" t="s">
        <v>194</v>
      </c>
      <c r="AL52" s="62" t="s">
        <v>195</v>
      </c>
      <c r="AM52" s="62">
        <f>IF(AL12&lt;1220,1/(1+(AL34*(235+0.435*AL12)/(1400-AL12))),0)</f>
        <v>0.40974277259276121</v>
      </c>
      <c r="AN52" s="62">
        <f>IF('Phase designation'!F22=3,MAX('Lane volumes'!AM52:AM53),1)</f>
        <v>1</v>
      </c>
      <c r="BB52" s="519" t="s">
        <v>194</v>
      </c>
      <c r="BC52" s="62" t="s">
        <v>195</v>
      </c>
      <c r="BD52" s="62">
        <f>IF(BC12&lt;1220,1/(1+(BC34*(235+0.435*BC12)/(1400-BC12))),0)</f>
        <v>0.55922518944766375</v>
      </c>
      <c r="BE52" s="62">
        <f>IF('Phase designation'!H22=3,MAX('Lane volumes'!BD52:BD53),1)</f>
        <v>1</v>
      </c>
    </row>
    <row r="53" spans="2:57" s="62" customFormat="1" hidden="1" x14ac:dyDescent="0.25">
      <c r="B53" s="519"/>
      <c r="C53" s="62" t="s">
        <v>196</v>
      </c>
      <c r="D53" s="62">
        <f>IF(C12&gt;=1220,1/(1+4.525*C34),0)</f>
        <v>0.18099547511312217</v>
      </c>
      <c r="T53" s="519"/>
      <c r="U53" s="62" t="s">
        <v>196</v>
      </c>
      <c r="V53" s="62">
        <f>IF(U12&gt;=1220,1/(1+4.525*U34),0)</f>
        <v>0.18099547511312217</v>
      </c>
      <c r="AK53" s="519"/>
      <c r="AL53" s="62" t="s">
        <v>196</v>
      </c>
      <c r="AM53" s="62">
        <f>IF(AL12&gt;=1220,1/(1+4.525*AL34),0)</f>
        <v>0</v>
      </c>
      <c r="BB53" s="519"/>
      <c r="BC53" s="62" t="s">
        <v>196</v>
      </c>
      <c r="BD53" s="62">
        <f>IF(BC12&gt;=1220,1/(1+4.525*BC34),0)</f>
        <v>0</v>
      </c>
    </row>
    <row r="54" spans="2:57" s="62" customFormat="1" hidden="1" x14ac:dyDescent="0.25"/>
    <row r="55" spans="2:57" s="62" customFormat="1" hidden="1" x14ac:dyDescent="0.25"/>
    <row r="56" spans="2:57" s="62" customFormat="1" hidden="1" x14ac:dyDescent="0.25">
      <c r="B56" s="333" t="s">
        <v>371</v>
      </c>
      <c r="C56" s="324">
        <f>IF(Sheet1!N4&gt;0,ROUND(Sheet1!N4/SUM(Sheet1!N4:P4),2),0)</f>
        <v>0.09</v>
      </c>
      <c r="D56" s="62">
        <f>IF(C13=0,0,1)</f>
        <v>1</v>
      </c>
      <c r="T56" s="333" t="s">
        <v>371</v>
      </c>
      <c r="U56" s="324">
        <f>IF(Sheet1!S4&gt;0,ROUND(Sheet1!S4/SUM(Sheet1!S4:U4),2),0)</f>
        <v>0.1</v>
      </c>
      <c r="V56" s="62">
        <f>IF(U13=0,U560,1)</f>
        <v>1</v>
      </c>
      <c r="AK56" s="333" t="s">
        <v>371</v>
      </c>
      <c r="AL56" s="324">
        <f>IF((Sheet1!D4+Sheet1!W4+Sheet1!Z4)&gt;0,ROUND((Sheet1!D4+Sheet1!W4+Sheet1!Z4)/SUM(Sheet1!D4:F4,Sheet1!W4:AB4),2),0)</f>
        <v>0.1</v>
      </c>
      <c r="AM56" s="62">
        <f>IF(AL13=0,AL560,1)</f>
        <v>1</v>
      </c>
      <c r="BB56" s="333" t="s">
        <v>371</v>
      </c>
      <c r="BC56" s="324">
        <f>IF((Sheet1!I4+Sheet1!AC4+Sheet1!AF4)&gt;0,ROUND((Sheet1!I4+Sheet1!AC4+Sheet1!AF4)/SUM(Sheet1!I4:K4,Sheet1!AC4:AE4,Sheet1!AF4:AH4),2),0)</f>
        <v>0.1</v>
      </c>
      <c r="BD56" s="62">
        <f>IF(BC13=0,BC560,1)</f>
        <v>1</v>
      </c>
    </row>
    <row r="57" spans="2:57" s="62" customFormat="1" hidden="1" x14ac:dyDescent="0.25">
      <c r="B57" s="333" t="s">
        <v>372</v>
      </c>
      <c r="C57" s="324">
        <f>IF(Sheet1!N4&gt;0,ROUND(Sheet1!N4/SUM(Sheet1!N4:P4),2),0)</f>
        <v>0.09</v>
      </c>
      <c r="D57" s="62">
        <f>IF(C13=0,C57,0)</f>
        <v>0</v>
      </c>
      <c r="T57" s="333" t="s">
        <v>372</v>
      </c>
      <c r="U57" s="324">
        <f>IF(Sheet1!S4&gt;0,ROUND(Sheet1!S4/SUM(Sheet1!S4:U4),2),0)</f>
        <v>0.1</v>
      </c>
      <c r="V57" s="62">
        <f>IF(U13=0,U57,0)</f>
        <v>0</v>
      </c>
      <c r="AK57" s="333" t="s">
        <v>372</v>
      </c>
      <c r="AL57" s="324">
        <f>IF((Sheet1!D4+Sheet1!W4+Sheet1!Z4)&gt;0,ROUND((Sheet1!D4+Sheet1!W4+Sheet1!Z4)/SUM(Sheet1!D4:F4,Sheet1!W4:AB4),2),0)</f>
        <v>0.1</v>
      </c>
      <c r="AM57" s="62">
        <f>IF(AL13=0,AL57,0)</f>
        <v>0</v>
      </c>
      <c r="BB57" s="333" t="s">
        <v>372</v>
      </c>
      <c r="BC57" s="324">
        <f>IF((Sheet1!I4+Sheet1!AC4+Sheet1!AF4)&gt;0,ROUND((Sheet1!I4+Sheet1!AC4+Sheet1!AF4)/SUM(Sheet1!I4:K4,Sheet1!AC4:AE4,Sheet1!AF4:AH4),2),0)</f>
        <v>0.1</v>
      </c>
      <c r="BD57" s="62">
        <f>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47"/>
  <sheetViews>
    <sheetView tabSelected="1" zoomScale="80" zoomScaleNormal="80" workbookViewId="0"/>
  </sheetViews>
  <sheetFormatPr defaultRowHeight="15" x14ac:dyDescent="0.25"/>
  <cols>
    <col min="1" max="1" width="9.140625" style="3"/>
    <col min="2" max="2" width="31.140625" style="3" customWidth="1"/>
    <col min="3" max="4" width="15.140625" style="3" bestFit="1" customWidth="1"/>
    <col min="5" max="5" width="15.140625" style="242" bestFit="1" customWidth="1"/>
    <col min="6" max="7" width="15.140625" style="3" bestFit="1" customWidth="1"/>
    <col min="8" max="8" width="9.140625" style="242"/>
    <col min="9" max="10" width="9.140625" style="3"/>
    <col min="11" max="11" width="9.140625" style="242"/>
    <col min="12" max="13" width="9.140625" style="3"/>
    <col min="14" max="14" width="9.140625" style="242" customWidth="1"/>
    <col min="15" max="15" width="9.140625" style="3" hidden="1" customWidth="1"/>
    <col min="16" max="16" width="9.140625" style="29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60" width="9.140625" style="3" hidden="1" customWidth="1"/>
    <col min="61" max="61" width="7.7109375" style="3" customWidth="1"/>
    <col min="62" max="62" width="8.28515625" style="3" customWidth="1"/>
    <col min="63" max="63" width="20.5703125" style="434" bestFit="1" customWidth="1"/>
    <col min="64" max="16384" width="9.140625" style="3"/>
  </cols>
  <sheetData>
    <row r="1" spans="2:76" x14ac:dyDescent="0.25">
      <c r="B1" s="510" t="s">
        <v>204</v>
      </c>
      <c r="C1" s="510"/>
      <c r="D1" s="510"/>
      <c r="E1" s="241"/>
      <c r="Q1" s="101"/>
      <c r="R1" s="101"/>
      <c r="S1" s="101"/>
      <c r="T1" s="101"/>
      <c r="U1" s="101"/>
      <c r="V1" s="101"/>
      <c r="Y1" s="499" t="s">
        <v>386</v>
      </c>
      <c r="Z1" s="499"/>
      <c r="AA1" s="499"/>
      <c r="AB1" s="499"/>
      <c r="AC1" s="499"/>
      <c r="BI1" s="488"/>
      <c r="BJ1" s="488"/>
      <c r="BK1" s="488"/>
      <c r="BL1" s="488"/>
      <c r="BM1" s="488"/>
      <c r="BN1" s="488"/>
      <c r="BO1" s="488"/>
      <c r="BP1" s="488"/>
      <c r="BQ1" s="488"/>
      <c r="BR1" s="488"/>
      <c r="BS1" s="488"/>
      <c r="BT1" s="488"/>
      <c r="BU1" s="488"/>
      <c r="BV1" s="488"/>
      <c r="BW1" s="488"/>
      <c r="BX1" s="488"/>
    </row>
    <row r="2" spans="2:76" x14ac:dyDescent="0.25">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385</v>
      </c>
      <c r="Z2" s="334" t="s">
        <v>373</v>
      </c>
      <c r="AA2" s="334" t="s">
        <v>374</v>
      </c>
      <c r="AB2" s="334" t="s">
        <v>375</v>
      </c>
      <c r="AC2" s="334" t="s">
        <v>376</v>
      </c>
      <c r="AD2" s="396" t="s">
        <v>385</v>
      </c>
      <c r="AE2" s="394" t="s">
        <v>394</v>
      </c>
      <c r="AF2" s="338" t="s">
        <v>395</v>
      </c>
      <c r="AH2" s="251" t="s">
        <v>394</v>
      </c>
      <c r="AI2" s="78" t="s">
        <v>398</v>
      </c>
      <c r="AJ2" s="78" t="s">
        <v>124</v>
      </c>
      <c r="AN2" s="77" t="s">
        <v>399</v>
      </c>
      <c r="AO2" s="77" t="s">
        <v>124</v>
      </c>
      <c r="AS2" s="77" t="s">
        <v>400</v>
      </c>
      <c r="AT2" s="77" t="s">
        <v>124</v>
      </c>
      <c r="BI2" s="488" t="s">
        <v>302</v>
      </c>
      <c r="BJ2" s="488" t="s">
        <v>482</v>
      </c>
      <c r="BK2" s="488"/>
      <c r="BL2" s="488" t="s">
        <v>543</v>
      </c>
      <c r="BM2" s="488" t="s">
        <v>544</v>
      </c>
      <c r="BN2" s="488" t="s">
        <v>545</v>
      </c>
      <c r="BO2" s="488" t="s">
        <v>546</v>
      </c>
      <c r="BP2" s="488" t="s">
        <v>547</v>
      </c>
      <c r="BQ2" s="488" t="s">
        <v>548</v>
      </c>
      <c r="BR2" s="488" t="s">
        <v>549</v>
      </c>
      <c r="BS2" s="488" t="s">
        <v>550</v>
      </c>
      <c r="BT2" s="488" t="s">
        <v>551</v>
      </c>
      <c r="BU2" s="488" t="s">
        <v>552</v>
      </c>
      <c r="BV2" s="488" t="s">
        <v>553</v>
      </c>
      <c r="BW2" s="488" t="s">
        <v>554</v>
      </c>
      <c r="BX2" s="488"/>
    </row>
    <row r="3" spans="2:76" x14ac:dyDescent="0.25">
      <c r="B3" s="87" t="s">
        <v>74</v>
      </c>
      <c r="C3" s="249">
        <f>IF(SUM(C6:E6=0),0,'Phase designation'!B3)</f>
        <v>200</v>
      </c>
      <c r="D3" s="377">
        <f>'Phase designation'!C3</f>
        <v>1950</v>
      </c>
      <c r="E3" s="45">
        <f>IF(SUM('Phase designation'!B19:H19)&gt;2,0,Sheet1!P4)</f>
        <v>100</v>
      </c>
      <c r="F3" s="249">
        <f>IF(SUM(F6:H6=0),0,'Phase designation'!D3)</f>
        <v>250</v>
      </c>
      <c r="G3" s="377">
        <f>'Phase designation'!E3</f>
        <v>2200</v>
      </c>
      <c r="H3" s="45">
        <f>IF(SUM('Phase designation'!B19:H19)&gt;2,0,Sheet1!U4)</f>
        <v>120</v>
      </c>
      <c r="I3" s="249">
        <f>IF(SUM(I6:K6)=0,0,'Phase designation'!F3)</f>
        <v>75</v>
      </c>
      <c r="J3" s="377">
        <f>'Phase designation'!G3</f>
        <v>650</v>
      </c>
      <c r="K3" s="45">
        <f>IF(SUM('Phase designation'!B19:H19)&gt;2,0,Sheet1!F4+Sheet1!Y4+Sheet1!AB4)</f>
        <v>60</v>
      </c>
      <c r="L3" s="249">
        <f>IF(SUM(L6:N6)=0,0,'Phase designation'!H3)</f>
        <v>100</v>
      </c>
      <c r="M3" s="377">
        <f>'Phase designation'!I3</f>
        <v>850</v>
      </c>
      <c r="N3" s="45">
        <f>IF(SUM('Phase designation'!B19:H19)&gt;2,0,Sheet1!K4+Sheet1!AE4+Sheet1!AH4)</f>
        <v>100</v>
      </c>
      <c r="O3" s="250">
        <f>SUM(C3:N3)</f>
        <v>6655</v>
      </c>
      <c r="Q3" s="10"/>
      <c r="R3" s="112" t="s">
        <v>206</v>
      </c>
      <c r="S3" s="113">
        <f>'Input sheet'!V5</f>
        <v>8</v>
      </c>
      <c r="T3" s="10"/>
      <c r="U3" s="10"/>
      <c r="V3" s="10"/>
      <c r="W3" s="5"/>
      <c r="Y3" s="397" t="s">
        <v>377</v>
      </c>
      <c r="Z3" s="168" t="s">
        <v>83</v>
      </c>
      <c r="AA3" s="168" t="s">
        <v>83</v>
      </c>
      <c r="AB3" s="168" t="s">
        <v>83</v>
      </c>
      <c r="AC3" s="168" t="s">
        <v>83</v>
      </c>
      <c r="AD3" s="397" t="s">
        <v>377</v>
      </c>
      <c r="AE3" s="392" t="str">
        <f>Z3&amp;" "&amp;AA3</f>
        <v>Permitted Permitted</v>
      </c>
      <c r="AF3" s="393" t="str">
        <f>AB3&amp;" "&amp;AC3</f>
        <v>Permitted Permitted</v>
      </c>
      <c r="AI3" s="78" t="s">
        <v>385</v>
      </c>
      <c r="AJ3" s="78">
        <v>1</v>
      </c>
      <c r="AK3" s="77">
        <v>2</v>
      </c>
      <c r="AL3" s="77">
        <v>3</v>
      </c>
      <c r="AN3" s="77" t="s">
        <v>385</v>
      </c>
      <c r="AO3" s="77">
        <v>1</v>
      </c>
      <c r="AP3" s="77">
        <v>2</v>
      </c>
      <c r="AQ3" s="77">
        <v>3</v>
      </c>
      <c r="AS3" s="77" t="s">
        <v>385</v>
      </c>
      <c r="AT3" s="77">
        <v>1</v>
      </c>
      <c r="AU3" s="77">
        <v>2</v>
      </c>
      <c r="AV3" s="77">
        <v>3</v>
      </c>
      <c r="BI3" s="488">
        <f>MAX(F24,'Input sheet'!V8)</f>
        <v>40</v>
      </c>
      <c r="BJ3" s="488">
        <f>'Input sheet'!V9</f>
        <v>150</v>
      </c>
      <c r="BK3" s="488"/>
      <c r="BL3" s="489">
        <f>BI3</f>
        <v>40</v>
      </c>
      <c r="BM3" s="489">
        <f>IF(BI3+10&lt;=$BJ$3,BI3+10,0)</f>
        <v>50</v>
      </c>
      <c r="BN3" s="489">
        <f>IF(BM3=0,0,IF(BM3+10&lt;=$BJ$3,BM3+10,0))</f>
        <v>60</v>
      </c>
      <c r="BO3" s="489">
        <f t="shared" ref="BO3:BW3" si="0">IF(BN3=0,0,IF(BN3+10&lt;=$BJ$3,BN3+10,0))</f>
        <v>70</v>
      </c>
      <c r="BP3" s="489">
        <f t="shared" si="0"/>
        <v>80</v>
      </c>
      <c r="BQ3" s="489">
        <f t="shared" si="0"/>
        <v>90</v>
      </c>
      <c r="BR3" s="489">
        <f t="shared" si="0"/>
        <v>100</v>
      </c>
      <c r="BS3" s="489">
        <f t="shared" si="0"/>
        <v>110</v>
      </c>
      <c r="BT3" s="489">
        <f t="shared" si="0"/>
        <v>120</v>
      </c>
      <c r="BU3" s="489">
        <f t="shared" si="0"/>
        <v>130</v>
      </c>
      <c r="BV3" s="489">
        <f t="shared" si="0"/>
        <v>140</v>
      </c>
      <c r="BW3" s="489">
        <f t="shared" si="0"/>
        <v>150</v>
      </c>
      <c r="BX3" s="488"/>
    </row>
    <row r="4" spans="2:76" x14ac:dyDescent="0.25">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378</v>
      </c>
      <c r="Z4" s="168" t="s">
        <v>83</v>
      </c>
      <c r="AA4" s="168" t="s">
        <v>384</v>
      </c>
      <c r="AB4" s="168" t="s">
        <v>83</v>
      </c>
      <c r="AC4" s="168" t="s">
        <v>384</v>
      </c>
      <c r="AD4" s="397" t="s">
        <v>378</v>
      </c>
      <c r="AE4" s="392" t="str">
        <f t="shared" ref="AE4:AE10" si="1">Z4&amp;" "&amp;AA4</f>
        <v>Permitted Not opposed</v>
      </c>
      <c r="AF4" s="393" t="str">
        <f t="shared" ref="AF4:AF10" si="2">AB4&amp;" "&amp;AC4</f>
        <v>Permitted Not opposed</v>
      </c>
      <c r="AI4" s="78" t="s">
        <v>377</v>
      </c>
      <c r="AJ4" s="78">
        <v>4</v>
      </c>
      <c r="AN4" s="77" t="s">
        <v>377</v>
      </c>
      <c r="AO4" s="340" t="s">
        <v>401</v>
      </c>
      <c r="AP4" s="340"/>
      <c r="AQ4" s="340"/>
      <c r="AS4" s="77" t="s">
        <v>377</v>
      </c>
      <c r="AT4" s="77">
        <f>MAX(D16,G16,F16)</f>
        <v>733</v>
      </c>
      <c r="BI4" s="488"/>
      <c r="BJ4" s="488"/>
      <c r="BK4" s="488"/>
      <c r="BL4" s="488" t="s">
        <v>555</v>
      </c>
      <c r="BM4" s="488" t="s">
        <v>556</v>
      </c>
      <c r="BN4" s="488" t="s">
        <v>557</v>
      </c>
      <c r="BO4" s="488" t="s">
        <v>558</v>
      </c>
      <c r="BP4" s="488" t="s">
        <v>559</v>
      </c>
      <c r="BQ4" s="488" t="s">
        <v>560</v>
      </c>
      <c r="BR4" s="488" t="s">
        <v>561</v>
      </c>
      <c r="BS4" s="488" t="s">
        <v>562</v>
      </c>
      <c r="BT4" s="488" t="s">
        <v>563</v>
      </c>
      <c r="BU4" s="488" t="s">
        <v>564</v>
      </c>
      <c r="BV4" s="488" t="s">
        <v>565</v>
      </c>
      <c r="BW4" s="488"/>
      <c r="BX4" s="488"/>
    </row>
    <row r="5" spans="2:76" x14ac:dyDescent="0.25">
      <c r="B5" s="324" t="s">
        <v>123</v>
      </c>
      <c r="C5" s="250">
        <f>ROUND(C3/C4,0)</f>
        <v>200</v>
      </c>
      <c r="D5" s="251">
        <f t="shared" ref="D5:N5" si="3">ROUND(D3/D4,0)</f>
        <v>1950</v>
      </c>
      <c r="E5" s="251">
        <f t="shared" si="3"/>
        <v>100</v>
      </c>
      <c r="F5" s="250">
        <f t="shared" si="3"/>
        <v>250</v>
      </c>
      <c r="G5" s="251">
        <f t="shared" si="3"/>
        <v>2200</v>
      </c>
      <c r="H5" s="251">
        <f t="shared" si="3"/>
        <v>120</v>
      </c>
      <c r="I5" s="250">
        <f t="shared" si="3"/>
        <v>75</v>
      </c>
      <c r="J5" s="251">
        <f t="shared" si="3"/>
        <v>650</v>
      </c>
      <c r="K5" s="251">
        <f t="shared" si="3"/>
        <v>60</v>
      </c>
      <c r="L5" s="250">
        <f t="shared" si="3"/>
        <v>100</v>
      </c>
      <c r="M5" s="251">
        <f t="shared" si="3"/>
        <v>850</v>
      </c>
      <c r="N5" s="251">
        <f t="shared" si="3"/>
        <v>100</v>
      </c>
      <c r="O5" s="250"/>
      <c r="Q5" s="10"/>
      <c r="R5" s="10"/>
      <c r="S5" s="101" t="s">
        <v>209</v>
      </c>
      <c r="T5" s="10"/>
      <c r="U5" s="10"/>
      <c r="V5" s="10"/>
      <c r="W5" s="5"/>
      <c r="Y5" s="397" t="s">
        <v>379</v>
      </c>
      <c r="Z5" s="168" t="s">
        <v>384</v>
      </c>
      <c r="AA5" s="168" t="s">
        <v>83</v>
      </c>
      <c r="AB5" s="168" t="s">
        <v>384</v>
      </c>
      <c r="AC5" s="168" t="s">
        <v>83</v>
      </c>
      <c r="AD5" s="397" t="s">
        <v>379</v>
      </c>
      <c r="AE5" s="392" t="str">
        <f t="shared" si="1"/>
        <v>Not opposed Permitted</v>
      </c>
      <c r="AF5" s="393" t="str">
        <f t="shared" si="2"/>
        <v>Not opposed Permitted</v>
      </c>
      <c r="AI5" s="78" t="s">
        <v>378</v>
      </c>
      <c r="AJ5" s="78">
        <v>4</v>
      </c>
      <c r="AN5" s="77" t="s">
        <v>378</v>
      </c>
      <c r="AO5" s="340" t="s">
        <v>401</v>
      </c>
      <c r="AP5" s="340"/>
      <c r="AQ5" s="340"/>
      <c r="AS5" s="77" t="s">
        <v>378</v>
      </c>
      <c r="AT5" s="324">
        <f>MAX(D16,G16,F16)</f>
        <v>733</v>
      </c>
      <c r="BI5" s="488"/>
      <c r="BJ5" s="488"/>
      <c r="BK5" s="488"/>
      <c r="BL5" s="488">
        <v>331.46</v>
      </c>
      <c r="BM5" s="488">
        <v>280.86</v>
      </c>
      <c r="BN5" s="488">
        <v>240.45</v>
      </c>
      <c r="BO5" s="488">
        <v>213.55</v>
      </c>
      <c r="BP5" s="488">
        <v>194.64</v>
      </c>
      <c r="BQ5" s="488">
        <v>182.54</v>
      </c>
      <c r="BR5" s="488">
        <v>176.35</v>
      </c>
      <c r="BS5" s="488">
        <v>171.72</v>
      </c>
      <c r="BT5" s="488">
        <v>165.62</v>
      </c>
      <c r="BU5" s="488">
        <v>164.35</v>
      </c>
      <c r="BV5" s="488">
        <v>0</v>
      </c>
      <c r="BW5" s="488">
        <v>0</v>
      </c>
      <c r="BX5" s="488"/>
    </row>
    <row r="6" spans="2:76" ht="15" customHeight="1" x14ac:dyDescent="0.25">
      <c r="B6" s="256" t="s">
        <v>127</v>
      </c>
      <c r="C6" s="325">
        <f>'Phase designation'!B6</f>
        <v>2</v>
      </c>
      <c r="D6" s="325">
        <f>'Phase designation'!C6</f>
        <v>3</v>
      </c>
      <c r="E6" s="326">
        <f>IF(SUM('Phase designation'!B19:H19)&gt;2,0,'Summary sheet'!U13)</f>
        <v>1</v>
      </c>
      <c r="F6" s="325">
        <f>'Phase designation'!D6</f>
        <v>2</v>
      </c>
      <c r="G6" s="325">
        <f>'Phase designation'!E6</f>
        <v>3</v>
      </c>
      <c r="H6" s="326">
        <f>IF(SUM('Phase designation'!B19:H19)&gt;2,0,'Summary sheet'!AA9)</f>
        <v>1</v>
      </c>
      <c r="I6" s="325">
        <f>'Phase designation'!F6</f>
        <v>1</v>
      </c>
      <c r="J6" s="325">
        <f>'Phase designation'!G6</f>
        <v>2</v>
      </c>
      <c r="K6" s="326">
        <f>IF(SUM('Phase designation'!B19:H19)&gt;2,0,'Summary sheet'!Y17)</f>
        <v>1</v>
      </c>
      <c r="L6" s="325">
        <f>'Phase designation'!H6</f>
        <v>1</v>
      </c>
      <c r="M6" s="325">
        <f>'Phase designation'!I6</f>
        <v>2</v>
      </c>
      <c r="N6" s="326">
        <f>IF(SUM('Phase designation'!B19:H19)&gt;2,0,'Summary sheet'!W4)</f>
        <v>1</v>
      </c>
      <c r="O6" s="250"/>
      <c r="Q6" s="10"/>
      <c r="R6" s="525" t="s">
        <v>207</v>
      </c>
      <c r="S6" s="101">
        <v>1</v>
      </c>
      <c r="T6" s="101">
        <v>1</v>
      </c>
      <c r="U6" s="10"/>
      <c r="V6" s="10"/>
      <c r="W6" s="5"/>
      <c r="Y6" s="397" t="s">
        <v>380</v>
      </c>
      <c r="Z6" s="168" t="s">
        <v>83</v>
      </c>
      <c r="AA6" s="168" t="s">
        <v>82</v>
      </c>
      <c r="AB6" s="168" t="s">
        <v>83</v>
      </c>
      <c r="AC6" s="168" t="s">
        <v>82</v>
      </c>
      <c r="AD6" s="397" t="s">
        <v>380</v>
      </c>
      <c r="AE6" s="392" t="str">
        <f t="shared" si="1"/>
        <v>Permitted Protected</v>
      </c>
      <c r="AF6" s="393" t="str">
        <f t="shared" si="2"/>
        <v>Permitted Protected</v>
      </c>
      <c r="AI6" s="78" t="s">
        <v>379</v>
      </c>
      <c r="AJ6" s="78">
        <v>4</v>
      </c>
      <c r="AN6" s="77" t="s">
        <v>379</v>
      </c>
      <c r="AO6" s="340" t="s">
        <v>401</v>
      </c>
      <c r="AP6" s="340"/>
      <c r="AQ6" s="340"/>
      <c r="AS6" s="77" t="s">
        <v>379</v>
      </c>
      <c r="AT6" s="324">
        <f>MAX(D16,G16,F16)</f>
        <v>733</v>
      </c>
      <c r="BI6" s="488"/>
      <c r="BJ6" s="488"/>
      <c r="BK6" s="488"/>
      <c r="BL6" s="489">
        <f>IF(BL5=0,"",BL5)</f>
        <v>331.46</v>
      </c>
      <c r="BM6" s="489">
        <f>IF(BM5=0,"",BM5)</f>
        <v>280.86</v>
      </c>
      <c r="BN6" s="489">
        <f t="shared" ref="BN6:BW6" si="4">IF(BN5=0,"",BN5)</f>
        <v>240.45</v>
      </c>
      <c r="BO6" s="489">
        <f t="shared" si="4"/>
        <v>213.55</v>
      </c>
      <c r="BP6" s="489">
        <f t="shared" si="4"/>
        <v>194.64</v>
      </c>
      <c r="BQ6" s="489">
        <f t="shared" si="4"/>
        <v>182.54</v>
      </c>
      <c r="BR6" s="489">
        <f t="shared" si="4"/>
        <v>176.35</v>
      </c>
      <c r="BS6" s="489">
        <f t="shared" si="4"/>
        <v>171.72</v>
      </c>
      <c r="BT6" s="489">
        <f t="shared" si="4"/>
        <v>165.62</v>
      </c>
      <c r="BU6" s="489">
        <f t="shared" si="4"/>
        <v>164.35</v>
      </c>
      <c r="BV6" s="489" t="str">
        <f t="shared" si="4"/>
        <v/>
      </c>
      <c r="BW6" s="489" t="str">
        <f t="shared" si="4"/>
        <v/>
      </c>
      <c r="BX6" s="488"/>
    </row>
    <row r="7" spans="2:76" s="69" customFormat="1" hidden="1" x14ac:dyDescent="0.25">
      <c r="B7" s="324" t="s">
        <v>131</v>
      </c>
      <c r="C7" s="250">
        <f>IF(C6&gt;0,ROUND(C5/C6,0),0)</f>
        <v>100</v>
      </c>
      <c r="D7" s="251">
        <f t="shared" ref="D7:M7" si="5">IF(D6&gt;0,ROUND(D5/D6,0),0)</f>
        <v>650</v>
      </c>
      <c r="E7" s="251"/>
      <c r="F7" s="250">
        <f t="shared" si="5"/>
        <v>125</v>
      </c>
      <c r="G7" s="251">
        <f t="shared" si="5"/>
        <v>733</v>
      </c>
      <c r="H7" s="251"/>
      <c r="I7" s="250">
        <f t="shared" si="5"/>
        <v>75</v>
      </c>
      <c r="J7" s="251">
        <f t="shared" si="5"/>
        <v>325</v>
      </c>
      <c r="K7" s="251"/>
      <c r="L7" s="250">
        <f t="shared" si="5"/>
        <v>100</v>
      </c>
      <c r="M7" s="251">
        <f t="shared" si="5"/>
        <v>425</v>
      </c>
      <c r="N7" s="251"/>
      <c r="O7" s="250"/>
      <c r="P7" s="291"/>
      <c r="Q7" s="102"/>
      <c r="R7" s="525"/>
      <c r="S7" s="101">
        <v>2</v>
      </c>
      <c r="T7" s="101">
        <v>0.95199999999999996</v>
      </c>
      <c r="U7" s="10"/>
      <c r="V7" s="103"/>
      <c r="W7" s="5"/>
      <c r="Y7" s="397" t="s">
        <v>381</v>
      </c>
      <c r="Z7" s="168" t="s">
        <v>82</v>
      </c>
      <c r="AA7" s="168" t="s">
        <v>83</v>
      </c>
      <c r="AB7" s="168" t="s">
        <v>82</v>
      </c>
      <c r="AC7" s="168" t="s">
        <v>83</v>
      </c>
      <c r="AD7" s="397" t="s">
        <v>381</v>
      </c>
      <c r="AE7" s="392" t="str">
        <f t="shared" si="1"/>
        <v>Protected Permitted</v>
      </c>
      <c r="AF7" s="393" t="str">
        <f t="shared" si="2"/>
        <v>Protected Permitted</v>
      </c>
      <c r="AG7" s="78"/>
      <c r="AH7" s="78"/>
      <c r="AI7" s="78" t="s">
        <v>380</v>
      </c>
      <c r="AJ7" s="78">
        <v>4</v>
      </c>
      <c r="AK7" s="77">
        <v>4</v>
      </c>
      <c r="AL7" s="77"/>
      <c r="AM7" s="77"/>
      <c r="AN7" s="77" t="s">
        <v>380</v>
      </c>
      <c r="AO7" s="340" t="s">
        <v>402</v>
      </c>
      <c r="AP7" s="340" t="s">
        <v>401</v>
      </c>
      <c r="AQ7" s="340"/>
      <c r="AR7" s="77"/>
      <c r="AS7" s="77" t="s">
        <v>380</v>
      </c>
      <c r="AT7" s="77">
        <f>F16</f>
        <v>136</v>
      </c>
      <c r="AU7" s="77">
        <f>MAX(G16-F16,D16)</f>
        <v>650</v>
      </c>
      <c r="AV7" s="77"/>
      <c r="BI7" s="488"/>
      <c r="BJ7" s="488"/>
      <c r="BK7" s="488"/>
      <c r="BL7" s="488"/>
      <c r="BM7" s="488"/>
      <c r="BN7" s="488"/>
      <c r="BO7" s="488"/>
      <c r="BP7" s="488"/>
      <c r="BQ7" s="488"/>
      <c r="BR7" s="488"/>
      <c r="BS7" s="488"/>
      <c r="BT7" s="488"/>
      <c r="BU7" s="488"/>
      <c r="BV7" s="488"/>
      <c r="BW7" s="488"/>
      <c r="BX7" s="488"/>
    </row>
    <row r="8" spans="2:76" s="242" customFormat="1" x14ac:dyDescent="0.25">
      <c r="B8" s="324" t="s">
        <v>338</v>
      </c>
      <c r="C8" s="250"/>
      <c r="D8" s="251"/>
      <c r="E8" s="251">
        <f>ROUND('Input sheet'!G17/100*E5,0)</f>
        <v>10</v>
      </c>
      <c r="F8" s="250"/>
      <c r="G8" s="251"/>
      <c r="H8" s="251">
        <f>ROUND('Input sheet'!N11/100*H5,0)</f>
        <v>12</v>
      </c>
      <c r="I8" s="250"/>
      <c r="J8" s="251"/>
      <c r="K8" s="251">
        <f>ROUND('Input sheet'!L22/100*K5,0)</f>
        <v>6</v>
      </c>
      <c r="L8" s="250"/>
      <c r="M8" s="251"/>
      <c r="N8" s="251">
        <f>ROUND('Input sheet'!H7/100*N5,0)</f>
        <v>10</v>
      </c>
      <c r="O8" s="250"/>
      <c r="P8" s="291"/>
      <c r="Q8" s="102"/>
      <c r="R8" s="525"/>
      <c r="S8" s="101"/>
      <c r="T8" s="101"/>
      <c r="U8" s="10"/>
      <c r="V8" s="103"/>
      <c r="W8" s="5"/>
      <c r="Y8" s="397" t="s">
        <v>382</v>
      </c>
      <c r="Z8" s="168" t="s">
        <v>391</v>
      </c>
      <c r="AA8" s="168" t="s">
        <v>82</v>
      </c>
      <c r="AB8" s="168" t="s">
        <v>391</v>
      </c>
      <c r="AC8" s="168" t="s">
        <v>82</v>
      </c>
      <c r="AD8" s="397" t="s">
        <v>382</v>
      </c>
      <c r="AE8" s="392" t="str">
        <f t="shared" si="1"/>
        <v>ProtectedA Protected</v>
      </c>
      <c r="AF8" s="393" t="str">
        <f t="shared" si="2"/>
        <v>ProtectedA Protected</v>
      </c>
      <c r="AG8" s="78"/>
      <c r="AH8" s="78"/>
      <c r="AI8" s="78" t="s">
        <v>381</v>
      </c>
      <c r="AJ8" s="78">
        <v>4</v>
      </c>
      <c r="AK8" s="77">
        <v>4</v>
      </c>
      <c r="AL8" s="77"/>
      <c r="AM8" s="77"/>
      <c r="AN8" s="77" t="s">
        <v>381</v>
      </c>
      <c r="AO8" s="340" t="s">
        <v>403</v>
      </c>
      <c r="AP8" s="340" t="s">
        <v>401</v>
      </c>
      <c r="AQ8" s="340"/>
      <c r="AR8" s="77"/>
      <c r="AS8" s="77" t="s">
        <v>381</v>
      </c>
      <c r="AT8" s="77">
        <f>C16</f>
        <v>109</v>
      </c>
      <c r="AU8" s="77">
        <f>MAX(D16-C16,G16)</f>
        <v>733</v>
      </c>
      <c r="AV8" s="77"/>
      <c r="BI8" s="488"/>
      <c r="BJ8" s="488"/>
      <c r="BK8" s="488"/>
      <c r="BL8" s="488"/>
      <c r="BM8" s="488"/>
      <c r="BN8" s="488"/>
      <c r="BO8" s="488"/>
      <c r="BP8" s="488"/>
      <c r="BQ8" s="488"/>
      <c r="BR8" s="488"/>
      <c r="BS8" s="488"/>
      <c r="BT8" s="488"/>
      <c r="BU8" s="488"/>
      <c r="BV8" s="488"/>
      <c r="BW8" s="488"/>
      <c r="BX8" s="488"/>
    </row>
    <row r="9" spans="2:76" s="242" customFormat="1" x14ac:dyDescent="0.25">
      <c r="B9" s="256" t="s">
        <v>339</v>
      </c>
      <c r="C9" s="325">
        <f>C5</f>
        <v>200</v>
      </c>
      <c r="D9" s="326">
        <f>IF(AND(E3&gt;0,E6=0),D5+E5,D5)</f>
        <v>1950</v>
      </c>
      <c r="E9" s="326">
        <f>IF(AND(E3&gt;0,E6=0),0,E5-E8)</f>
        <v>90</v>
      </c>
      <c r="F9" s="325">
        <f>F5</f>
        <v>250</v>
      </c>
      <c r="G9" s="326">
        <f>IF(AND(H3&gt;0,H6=0),G5+H5,G5)</f>
        <v>2200</v>
      </c>
      <c r="H9" s="326">
        <f>IF(AND(H3&gt;0,H6=0),0,H5-H8)</f>
        <v>108</v>
      </c>
      <c r="I9" s="325">
        <f>I5</f>
        <v>75</v>
      </c>
      <c r="J9" s="326">
        <f>IF(AND(K3&gt;0,K6=0),J5+K5,J5)</f>
        <v>650</v>
      </c>
      <c r="K9" s="326">
        <f>IF(AND(K3&gt;0,K6=0),0,K5-K8)</f>
        <v>54</v>
      </c>
      <c r="L9" s="325">
        <f>L5</f>
        <v>100</v>
      </c>
      <c r="M9" s="326">
        <f>IF(AND(N3&gt;0,N6=0),M5+N5,M5)</f>
        <v>850</v>
      </c>
      <c r="N9" s="326">
        <f>IF(AND(N3&gt;0,N6=0),0,N5-N8)</f>
        <v>90</v>
      </c>
      <c r="O9" s="250">
        <f>SUM(C9:N9)</f>
        <v>6617</v>
      </c>
      <c r="P9" s="291"/>
      <c r="Q9" s="102"/>
      <c r="R9" s="525"/>
      <c r="S9" s="101"/>
      <c r="T9" s="101"/>
      <c r="U9" s="10"/>
      <c r="V9" s="103"/>
      <c r="W9" s="5"/>
      <c r="Y9" s="397" t="s">
        <v>383</v>
      </c>
      <c r="Z9" s="168" t="s">
        <v>82</v>
      </c>
      <c r="AA9" s="168" t="s">
        <v>391</v>
      </c>
      <c r="AB9" s="168" t="s">
        <v>82</v>
      </c>
      <c r="AC9" s="168" t="s">
        <v>391</v>
      </c>
      <c r="AD9" s="397" t="s">
        <v>383</v>
      </c>
      <c r="AE9" s="392" t="str">
        <f t="shared" si="1"/>
        <v>Protected ProtectedA</v>
      </c>
      <c r="AF9" s="393" t="str">
        <f t="shared" si="2"/>
        <v>Protected ProtectedA</v>
      </c>
      <c r="AG9" s="78"/>
      <c r="AH9" s="78"/>
      <c r="AI9" s="78" t="s">
        <v>382</v>
      </c>
      <c r="AJ9" s="78">
        <v>4</v>
      </c>
      <c r="AK9" s="77">
        <v>0</v>
      </c>
      <c r="AL9" s="77">
        <v>4</v>
      </c>
      <c r="AM9" s="77"/>
      <c r="AN9" s="77" t="s">
        <v>382</v>
      </c>
      <c r="AO9" s="340" t="s">
        <v>404</v>
      </c>
      <c r="AP9" s="340" t="s">
        <v>403</v>
      </c>
      <c r="AQ9" s="340" t="s">
        <v>401</v>
      </c>
      <c r="AR9" s="77"/>
      <c r="AS9" s="77" t="s">
        <v>382</v>
      </c>
      <c r="AT9" s="77">
        <f>F16</f>
        <v>136</v>
      </c>
      <c r="AU9" s="77">
        <f>C16-F16</f>
        <v>-27</v>
      </c>
      <c r="AV9" s="77">
        <f>MAX(G16,D16-(C16-F16))</f>
        <v>733</v>
      </c>
      <c r="BI9" s="488"/>
      <c r="BJ9" s="488"/>
      <c r="BK9" s="488"/>
      <c r="BL9" s="488" t="s">
        <v>566</v>
      </c>
      <c r="BM9" s="387">
        <f>MIN(BL6:BW6)</f>
        <v>164.35</v>
      </c>
      <c r="BN9" s="488"/>
      <c r="BO9" s="488"/>
      <c r="BP9" s="488"/>
      <c r="BQ9" s="488"/>
      <c r="BR9" s="488"/>
      <c r="BS9" s="488"/>
      <c r="BT9" s="488"/>
      <c r="BU9" s="488"/>
      <c r="BV9" s="488"/>
      <c r="BW9" s="488"/>
      <c r="BX9" s="488"/>
    </row>
    <row r="10" spans="2:76" s="85" customFormat="1" x14ac:dyDescent="0.25">
      <c r="B10" s="324" t="s">
        <v>210</v>
      </c>
      <c r="C10" s="250">
        <f>IF(C6=0,1,LOOKUP(C6,$S$18:$S$19,$T$18:$T$19))</f>
        <v>0.97099999999999997</v>
      </c>
      <c r="D10" s="251">
        <f>IF(D6=0,1,LOOKUP(D6,$S$6:$S$10,$T$6:$T$10))</f>
        <v>0.90800000000000003</v>
      </c>
      <c r="E10" s="251"/>
      <c r="F10" s="250">
        <f>IF(F6=0,1,LOOKUP(F6,$S$18:$S$19,$T$18:$T$19))</f>
        <v>0.97099999999999997</v>
      </c>
      <c r="G10" s="251">
        <f>IF(G6=0,1,LOOKUP(G6,$S$6:$S$10,$T$6:$T$10))</f>
        <v>0.90800000000000003</v>
      </c>
      <c r="H10" s="251"/>
      <c r="I10" s="250">
        <f>IF(I6=0,1,LOOKUP(I6,$S$18:$S$19,$T$18:$T$19))</f>
        <v>1</v>
      </c>
      <c r="J10" s="251">
        <f>IF(J6=0,1,LOOKUP(J6,$S$6:$S$10,$T$6:$T$10))</f>
        <v>0.95199999999999996</v>
      </c>
      <c r="K10" s="251"/>
      <c r="L10" s="250">
        <f>IF(L6=0,1,LOOKUP(L6,$S$18:$S$19,$T$18:$T$19))</f>
        <v>1</v>
      </c>
      <c r="M10" s="251">
        <f>IF(M6=0,1,LOOKUP(M6,$S$6:$S$10,$T$6:$T$10))</f>
        <v>0.95199999999999996</v>
      </c>
      <c r="N10" s="251"/>
      <c r="O10" s="250"/>
      <c r="P10" s="291"/>
      <c r="Q10" s="102"/>
      <c r="R10" s="525"/>
      <c r="S10" s="101">
        <v>3</v>
      </c>
      <c r="T10" s="101">
        <v>0.90800000000000003</v>
      </c>
      <c r="U10" s="10"/>
      <c r="V10" s="103"/>
      <c r="W10" s="5"/>
      <c r="Y10" s="397">
        <v>4</v>
      </c>
      <c r="Z10" s="168" t="s">
        <v>384</v>
      </c>
      <c r="AA10" s="168" t="s">
        <v>384</v>
      </c>
      <c r="AB10" s="168" t="s">
        <v>384</v>
      </c>
      <c r="AC10" s="168" t="s">
        <v>384</v>
      </c>
      <c r="AD10" s="397">
        <v>4</v>
      </c>
      <c r="AE10" s="392" t="str">
        <f t="shared" si="1"/>
        <v>Not opposed Not opposed</v>
      </c>
      <c r="AF10" s="393" t="str">
        <f t="shared" si="2"/>
        <v>Not opposed Not opposed</v>
      </c>
      <c r="AG10" s="78"/>
      <c r="AH10" s="78"/>
      <c r="AI10" s="78" t="s">
        <v>383</v>
      </c>
      <c r="AJ10" s="78">
        <v>4</v>
      </c>
      <c r="AK10" s="77">
        <v>0</v>
      </c>
      <c r="AL10" s="77">
        <v>4</v>
      </c>
      <c r="AM10" s="77"/>
      <c r="AN10" s="77" t="s">
        <v>383</v>
      </c>
      <c r="AO10" s="340" t="s">
        <v>404</v>
      </c>
      <c r="AP10" s="340" t="s">
        <v>402</v>
      </c>
      <c r="AQ10" s="340" t="s">
        <v>401</v>
      </c>
      <c r="AR10" s="77"/>
      <c r="AS10" s="77" t="s">
        <v>383</v>
      </c>
      <c r="AT10" s="77">
        <f>C16</f>
        <v>109</v>
      </c>
      <c r="AU10" s="77">
        <f>F16-C16</f>
        <v>27</v>
      </c>
      <c r="AV10" s="77">
        <f>MAX(D16,G16-(F16-C16))</f>
        <v>706</v>
      </c>
      <c r="BI10" s="488"/>
      <c r="BJ10" s="488"/>
      <c r="BK10" s="488"/>
      <c r="BL10" s="488" t="s">
        <v>567</v>
      </c>
      <c r="BM10" s="488">
        <f>IF(BM9=0,0,INDEX(BL3:BW3,MATCH(BM9,BL5:BW5,0)))</f>
        <v>130</v>
      </c>
      <c r="BN10" s="488"/>
      <c r="BO10" s="488"/>
      <c r="BP10" s="488"/>
      <c r="BQ10" s="488"/>
      <c r="BR10" s="488"/>
      <c r="BS10" s="488"/>
      <c r="BT10" s="488"/>
      <c r="BU10" s="488"/>
      <c r="BV10" s="488"/>
      <c r="BW10" s="488"/>
      <c r="BX10" s="488"/>
    </row>
    <row r="11" spans="2:76" x14ac:dyDescent="0.25">
      <c r="B11" s="256" t="s">
        <v>340</v>
      </c>
      <c r="C11" s="325">
        <f>IF(C34=0,0,ROUND(C6*1530*C4*'Input sheet'!$W$7,0))</f>
        <v>3060</v>
      </c>
      <c r="D11" s="326">
        <f>IF(D34=0,0,ROUND(D6*1530*D4*'Input sheet'!$W$7,0))</f>
        <v>4590</v>
      </c>
      <c r="E11" s="327">
        <f>IF(E34=0,0,ROUND(E6*1530*E4*'Input sheet'!$W$7,0))</f>
        <v>1530</v>
      </c>
      <c r="F11" s="325">
        <f>IF(F34=0,0,ROUND(F6*1530*F4*'Input sheet'!$W$7,0))</f>
        <v>3060</v>
      </c>
      <c r="G11" s="326">
        <f>IF(G34=0,0,ROUND(G6*1530*G4*'Input sheet'!$W$7,0))</f>
        <v>4590</v>
      </c>
      <c r="H11" s="327">
        <f>IF(H34=0,0,ROUND(H6*1530*H4*'Input sheet'!$W$7,0))</f>
        <v>1530</v>
      </c>
      <c r="I11" s="325">
        <f>IF(I34=0,0,ROUND(I6*1530*I4*'Input sheet'!$W$7,0))</f>
        <v>0</v>
      </c>
      <c r="J11" s="326">
        <f>IF(J34=0,0,ROUND(J6*1530*J4*'Input sheet'!$W$7,0))</f>
        <v>3060</v>
      </c>
      <c r="K11" s="327">
        <f>IF(K34=0,0,ROUND(K6*1530*K4*'Input sheet'!$W$7,0))</f>
        <v>1530</v>
      </c>
      <c r="L11" s="325">
        <f>IF(L34=0,0,ROUND(L6*1530*L4*'Input sheet'!$W$7,0))</f>
        <v>0</v>
      </c>
      <c r="M11" s="326">
        <f>IF(M34=0,0,ROUND(M6*1530*M4*'Input sheet'!$W$7,0))</f>
        <v>3060</v>
      </c>
      <c r="N11" s="326">
        <f>IF(N34=0,0,ROUND(N6*1530*N4*'Input sheet'!$W$7,0))</f>
        <v>1530</v>
      </c>
      <c r="O11" s="346">
        <f>ROUND(1530*O4*'Input sheet'!W7,0)</f>
        <v>1530</v>
      </c>
      <c r="P11" s="291" t="s">
        <v>212</v>
      </c>
      <c r="Q11" s="77"/>
      <c r="R11" s="111"/>
      <c r="U11" s="10"/>
      <c r="V11" s="103"/>
      <c r="W11" s="10"/>
      <c r="Y11" s="398" t="s">
        <v>382</v>
      </c>
      <c r="Z11" s="337" t="s">
        <v>391</v>
      </c>
      <c r="AA11" s="337" t="s">
        <v>391</v>
      </c>
      <c r="AB11" s="337" t="s">
        <v>391</v>
      </c>
      <c r="AC11" s="337" t="s">
        <v>391</v>
      </c>
      <c r="AD11" s="398" t="s">
        <v>382</v>
      </c>
      <c r="AE11" s="395" t="str">
        <f>Z11&amp;" "&amp;AA11</f>
        <v>ProtectedA ProtectedA</v>
      </c>
      <c r="AF11" s="339" t="str">
        <f>AB11&amp;" "&amp;AC11</f>
        <v>ProtectedA ProtectedA</v>
      </c>
      <c r="AI11" s="78">
        <v>4</v>
      </c>
      <c r="AJ11" s="78">
        <v>4</v>
      </c>
      <c r="AK11" s="77">
        <v>4</v>
      </c>
      <c r="AN11" s="77">
        <v>4</v>
      </c>
      <c r="AO11" s="340" t="s">
        <v>403</v>
      </c>
      <c r="AP11" s="340" t="s">
        <v>402</v>
      </c>
      <c r="AQ11" s="340"/>
      <c r="AS11" s="77">
        <v>4</v>
      </c>
      <c r="AT11" s="77">
        <f>MAX(D16,C16)</f>
        <v>650</v>
      </c>
      <c r="AU11" s="77">
        <f>MAX(G16,F16)</f>
        <v>733</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25">
      <c r="B12" s="324" t="s">
        <v>342</v>
      </c>
      <c r="C12" s="250">
        <f>MAX(1,'Lane volumes'!C12)</f>
        <v>2320</v>
      </c>
      <c r="D12" s="251"/>
      <c r="E12" s="251"/>
      <c r="F12" s="250">
        <f>MAX(1,'Lane volumes'!U12)</f>
        <v>2050</v>
      </c>
      <c r="G12" s="251"/>
      <c r="H12" s="251"/>
      <c r="I12" s="250">
        <f>MAX(1,'Lane volumes'!AL12)</f>
        <v>950</v>
      </c>
      <c r="J12" s="251"/>
      <c r="K12" s="251"/>
      <c r="L12" s="250">
        <f>MAX(1,'Lane volumes'!BC12)</f>
        <v>710</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25">
      <c r="B13" s="324" t="s">
        <v>343</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387</v>
      </c>
      <c r="Z13" s="77" t="str">
        <f>'Phase designation'!B23</f>
        <v>Protected</v>
      </c>
      <c r="AA13" s="324" t="str">
        <f>'Phase designation'!D23</f>
        <v>Protected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25">
      <c r="B14" s="324" t="s">
        <v>341</v>
      </c>
      <c r="C14" s="250">
        <f>IF(D57+D59&gt;=1,ROUND(C10*$S$4*(C12*EXP(-1*C12*4.5/3600))/((1-EXP(-1*C12*C13/3600))),0),0)</f>
        <v>0</v>
      </c>
      <c r="D14" s="251">
        <f>D11</f>
        <v>4590</v>
      </c>
      <c r="E14" s="251">
        <f>E11</f>
        <v>1530</v>
      </c>
      <c r="F14" s="250">
        <f>IF(G57+G59&gt;=1,ROUND(F10*$S$4*(F12*EXP(-1*F12*4.5/3600))/((1-EXP(-1*F12*F13/3600))),0),0)</f>
        <v>0</v>
      </c>
      <c r="G14" s="251">
        <f>G11</f>
        <v>4590</v>
      </c>
      <c r="H14" s="251">
        <f>H11</f>
        <v>1530</v>
      </c>
      <c r="I14" s="250">
        <f>IF(J57+J59&gt;=1,ROUND(I10*$S$4*(I12*EXP(-1*I12*4.5/3600))/((1-EXP(-1*I12*I13/3600))),0),0)</f>
        <v>555</v>
      </c>
      <c r="J14" s="251">
        <f>J11</f>
        <v>3060</v>
      </c>
      <c r="K14" s="251">
        <f>K11</f>
        <v>1530</v>
      </c>
      <c r="L14" s="250">
        <f>IF(M57+M59&gt;=1,ROUND(L10*$S$4*(L12*EXP(-1*L12*4.5/3600))/((1-EXP(-1*L12*L13/3600))),0),0)</f>
        <v>695</v>
      </c>
      <c r="M14" s="251">
        <f>M11</f>
        <v>3060</v>
      </c>
      <c r="N14" s="251">
        <f>N11</f>
        <v>1530</v>
      </c>
      <c r="O14" s="250"/>
      <c r="P14" s="291"/>
      <c r="Q14" s="77"/>
      <c r="R14" s="111"/>
      <c r="U14" s="10"/>
      <c r="V14" s="103"/>
      <c r="W14" s="10"/>
      <c r="Y14" s="319" t="s">
        <v>390</v>
      </c>
      <c r="Z14" s="242">
        <f>IF(SUM(Sheet1!S5:U5)=0,1,0)</f>
        <v>0</v>
      </c>
      <c r="AA14" s="319">
        <f>IF(SUM(Sheet1!N5:P5)=0,1,0)</f>
        <v>0</v>
      </c>
      <c r="AB14" s="319">
        <f>IF(SUM(Sheet1!I5:K5,Sheet1!AC5:AH5)=0,1,0)</f>
        <v>0</v>
      </c>
      <c r="AC14" s="319">
        <f>IF(SUM(Sheet1!D5:F5,Sheet1!W5:AB5)=0,1,0)</f>
        <v>0</v>
      </c>
      <c r="AE14" s="78"/>
      <c r="AF14" s="78"/>
      <c r="AG14" s="78"/>
      <c r="AH14" s="167" t="s">
        <v>394</v>
      </c>
      <c r="AI14" s="342" t="str">
        <f>Z21</f>
        <v>3b</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25">
      <c r="B15" s="324" t="s">
        <v>130</v>
      </c>
      <c r="C15" s="250">
        <f>IF(C7+G7&gt;F7+D7,C7,0)</f>
        <v>100</v>
      </c>
      <c r="D15" s="251">
        <f>IF(D7+F7&gt;G7+C7,D7,0)</f>
        <v>0</v>
      </c>
      <c r="E15" s="251"/>
      <c r="F15" s="250">
        <f>IF(F7+D7&gt;C7+G7,F7,0)</f>
        <v>0</v>
      </c>
      <c r="G15" s="251">
        <f>IF(G7+C7&gt;D7+F7,G7,0)</f>
        <v>733</v>
      </c>
      <c r="H15" s="251"/>
      <c r="I15" s="250">
        <f>IF(I7+M7&gt;L7+J7,I7,0)</f>
        <v>75</v>
      </c>
      <c r="J15" s="251">
        <f>IF(J7+L7&gt;M7+I7,J7,0)</f>
        <v>0</v>
      </c>
      <c r="K15" s="251"/>
      <c r="L15" s="250">
        <f>IF(L7+J7&gt;I7+M7,L7,0)</f>
        <v>0</v>
      </c>
      <c r="M15" s="251">
        <f>IF(M7+I7&gt;J7+L7,M7,0)</f>
        <v>425</v>
      </c>
      <c r="N15" s="251"/>
      <c r="O15" s="250">
        <f>SUM(C15:M15)</f>
        <v>1333</v>
      </c>
      <c r="Q15" s="10"/>
      <c r="R15" s="13"/>
      <c r="S15" s="101"/>
      <c r="T15" s="101"/>
      <c r="U15" s="10"/>
      <c r="V15" s="103"/>
      <c r="W15" s="10"/>
      <c r="Y15" s="319" t="s">
        <v>389</v>
      </c>
      <c r="Z15" s="3" t="str">
        <f>IF(Z13="Prot+perm","Protected",Z13)</f>
        <v>Protected</v>
      </c>
      <c r="AA15" s="319" t="str">
        <f>IF(AA13="Prot+perm","Protected",AA13)</f>
        <v>Protected</v>
      </c>
      <c r="AB15" s="319" t="str">
        <f>IF(AB13="Prot+perm","Protected",AB13)</f>
        <v>Permitted</v>
      </c>
      <c r="AC15" s="319" t="str">
        <f>IF(AC13="Prot+perm","Protected",AC13)</f>
        <v>Permitted</v>
      </c>
      <c r="AI15" s="167" t="s">
        <v>398</v>
      </c>
      <c r="AJ15" s="167">
        <f>INDEX(AJ4:AJ11,MATCH($AI$14,$AI$4:$AI$11,0))</f>
        <v>4</v>
      </c>
      <c r="AK15" s="167">
        <f>INDEX(AK4:AK11,MATCH($AI$14,$AI$4:$AI$11,0))</f>
        <v>0</v>
      </c>
      <c r="AL15" s="167">
        <f>INDEX(AL4:AL11,MATCH($AI$14,$AI$4:$AI$11,0))</f>
        <v>4</v>
      </c>
      <c r="BI15" s="488"/>
      <c r="BJ15" s="488"/>
      <c r="BK15" s="488"/>
      <c r="BL15" s="488"/>
      <c r="BM15" s="488"/>
      <c r="BN15" s="488"/>
      <c r="BO15" s="488"/>
      <c r="BP15" s="488"/>
      <c r="BQ15" s="488"/>
      <c r="BR15" s="488"/>
      <c r="BS15" s="488"/>
      <c r="BT15" s="488"/>
      <c r="BU15" s="488"/>
      <c r="BV15" s="488"/>
      <c r="BW15" s="488"/>
      <c r="BX15" s="488"/>
    </row>
    <row r="16" spans="2:76" s="291" customFormat="1" x14ac:dyDescent="0.25">
      <c r="B16" s="256" t="s">
        <v>344</v>
      </c>
      <c r="C16" s="325">
        <f>MAX('Lane volumes'!C16:E16)</f>
        <v>109</v>
      </c>
      <c r="D16" s="326">
        <f>IF(D6=0,0,ROUND(MAX('Lane volumes'!C31:E31,'Lane volumes'!C38:E38),0))</f>
        <v>650</v>
      </c>
      <c r="E16" s="326">
        <f>MAX('Lane volumes'!C8:D8)</f>
        <v>106</v>
      </c>
      <c r="F16" s="325">
        <f>MAX('Lane volumes'!U16:W16)</f>
        <v>136</v>
      </c>
      <c r="G16" s="326">
        <f>IF(G6=0,0,ROUND(MAX('Lane volumes'!U31:W31,'Lane volumes'!U38:W38),0))</f>
        <v>733</v>
      </c>
      <c r="H16" s="326">
        <f>MAX('Lane volumes'!U8:V8)</f>
        <v>127</v>
      </c>
      <c r="I16" s="325">
        <f>MAX('Lane volumes'!AL16:AN16)</f>
        <v>0</v>
      </c>
      <c r="J16" s="326">
        <f>IF(J6=0,0,ROUND(MAX('Lane volumes'!AL31:AN31,'Lane volumes'!AL38:AN38),0))</f>
        <v>325</v>
      </c>
      <c r="K16" s="326">
        <f>MAX('Lane volumes'!AL8:AM8)</f>
        <v>64</v>
      </c>
      <c r="L16" s="325">
        <f>MAX('Lane volumes'!BC16:BE16)</f>
        <v>0</v>
      </c>
      <c r="M16" s="326">
        <f>IF(M6=0,0,ROUND(MAX('Lane volumes'!BC31:BE31,'Lane volumes'!BC38:BE38),0))</f>
        <v>425</v>
      </c>
      <c r="N16" s="326">
        <f>MAX('Lane volumes'!BC8:BD8)</f>
        <v>106</v>
      </c>
      <c r="O16" s="250"/>
      <c r="Q16" s="10"/>
      <c r="R16" s="13"/>
      <c r="S16" s="101"/>
      <c r="T16" s="101"/>
      <c r="U16" s="10"/>
      <c r="V16" s="103"/>
      <c r="W16" s="10"/>
      <c r="Y16" s="324" t="s">
        <v>392</v>
      </c>
      <c r="Z16" s="291" t="str">
        <f>IF(AND(Z15="Protected",AA15="Protected",C3&gt;=F3),"ProtectedA","Protected")</f>
        <v>Protected</v>
      </c>
      <c r="AA16" s="324" t="str">
        <f>IF(AND(Z15="Protected",AA15="Protected",F3&gt;=C3),"ProtectedA","Protected")</f>
        <v>ProtectedA</v>
      </c>
      <c r="AB16" s="324" t="str">
        <f>IF(AND(AB15="Protected",AC15="Protected",I3&gt;=L3),"ProtectedA","Protected")</f>
        <v>Protected</v>
      </c>
      <c r="AC16" s="324" t="str">
        <f>IF(AND(AB15="Protected",AC15="Protected",L3&gt;=I3),"ProtectedA","Protected")</f>
        <v>Protected</v>
      </c>
      <c r="AE16" s="251"/>
      <c r="AF16" s="251"/>
      <c r="AG16" s="251"/>
      <c r="AH16" s="251"/>
      <c r="AI16" s="167" t="s">
        <v>399</v>
      </c>
      <c r="AJ16" s="167" t="str">
        <f>INDEX(AO4:AO11,MATCH($AI$14,$AN$4:$AN$11,0))</f>
        <v>EBWBLT</v>
      </c>
      <c r="AK16" s="167" t="str">
        <f>INDEX(AP4:AP11,MATCH($AI$14,$AN$4:$AN$11,0))</f>
        <v>WBTHLT</v>
      </c>
      <c r="AL16" s="167" t="str">
        <f>INDEX(AQ4:AQ11,MATCH($AI$14,$AN$4:$AN$11,0))</f>
        <v>EBWBTH</v>
      </c>
      <c r="BI16" s="490"/>
      <c r="BJ16" s="490"/>
      <c r="BK16" s="490"/>
      <c r="BL16" s="490"/>
      <c r="BM16" s="490"/>
      <c r="BN16" s="490"/>
      <c r="BO16" s="490"/>
      <c r="BP16" s="490"/>
      <c r="BQ16" s="490"/>
      <c r="BR16" s="490"/>
      <c r="BS16" s="490"/>
      <c r="BT16" s="490"/>
      <c r="BU16" s="490"/>
      <c r="BV16" s="490"/>
      <c r="BW16" s="490"/>
      <c r="BX16" s="490"/>
    </row>
    <row r="17" spans="2:76" s="164" customFormat="1" hidden="1" x14ac:dyDescent="0.25">
      <c r="B17" s="324" t="s">
        <v>227</v>
      </c>
      <c r="C17" s="526"/>
      <c r="D17" s="527"/>
      <c r="E17" s="528"/>
      <c r="F17" s="526"/>
      <c r="G17" s="527"/>
      <c r="H17" s="528"/>
      <c r="I17" s="526"/>
      <c r="J17" s="527"/>
      <c r="K17" s="528"/>
      <c r="L17" s="527"/>
      <c r="M17" s="527"/>
      <c r="N17" s="527"/>
      <c r="O17" s="346">
        <f>SUM(AJ17:AL17,AJ33:AL33)</f>
        <v>1267</v>
      </c>
      <c r="P17" s="291" t="s">
        <v>213</v>
      </c>
      <c r="Q17" s="10"/>
      <c r="R17" s="13"/>
      <c r="S17" s="101"/>
      <c r="T17" s="101"/>
      <c r="U17" s="10"/>
      <c r="V17" s="103"/>
      <c r="W17" s="10"/>
      <c r="Y17" s="324" t="s">
        <v>393</v>
      </c>
      <c r="Z17" s="324" t="str">
        <f>IF(AND(Z14=1,Z15="Permitted"),"Not opposed",Z15)</f>
        <v>Protected</v>
      </c>
      <c r="AA17" s="324" t="str">
        <f>IF(AND(AA14=1,AA15="Permitted"),"Not opposed",AA15)</f>
        <v>Protected</v>
      </c>
      <c r="AB17" s="324" t="str">
        <f>IF(AND(AB14=1,AB15="Permitted"),"Not opposed",AB15)</f>
        <v>Permitted</v>
      </c>
      <c r="AC17" s="324" t="str">
        <f>IF(AND(AC14=1,AC15="Permitted"),"Not opposed",AC15)</f>
        <v>Permitted</v>
      </c>
      <c r="AE17" s="78"/>
      <c r="AF17" s="78"/>
      <c r="AG17" s="78"/>
      <c r="AH17" s="78"/>
      <c r="AI17" s="167" t="s">
        <v>400</v>
      </c>
      <c r="AJ17" s="167">
        <f>INDEX(AT4:AT11,MATCH($AI$14,$AS$4:$AS$11,0))</f>
        <v>109</v>
      </c>
      <c r="AK17" s="167">
        <f>INDEX(AU4:AU11,MATCH($AI$14,$AS$4:$AS$11,0))</f>
        <v>27</v>
      </c>
      <c r="AL17" s="167">
        <f>INDEX(AV4:AV11,MATCH($AI$14,$AS$4:$AS$11,0))</f>
        <v>706</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25">
      <c r="B18" s="324" t="s">
        <v>428</v>
      </c>
      <c r="C18" s="250">
        <f>'Phase designation'!B27</f>
        <v>5</v>
      </c>
      <c r="D18" s="251">
        <f>'Phase designation'!C27</f>
        <v>2</v>
      </c>
      <c r="E18" s="251"/>
      <c r="F18" s="250">
        <f>'Phase designation'!D27</f>
        <v>1</v>
      </c>
      <c r="G18" s="251">
        <f>'Phase designation'!E27</f>
        <v>6</v>
      </c>
      <c r="H18" s="251"/>
      <c r="I18" s="250">
        <f>'Phase designation'!F27</f>
        <v>0</v>
      </c>
      <c r="J18" s="251">
        <f>'Phase designation'!G27</f>
        <v>8</v>
      </c>
      <c r="K18" s="251"/>
      <c r="L18" s="250">
        <f>'Phase designation'!H27</f>
        <v>0</v>
      </c>
      <c r="M18" s="251">
        <f>'Phase designation'!I27</f>
        <v>4</v>
      </c>
      <c r="N18" s="251"/>
      <c r="O18" s="250"/>
      <c r="Q18" s="10"/>
      <c r="R18" s="530" t="s">
        <v>208</v>
      </c>
      <c r="S18" s="25">
        <v>1</v>
      </c>
      <c r="T18" s="25">
        <v>1</v>
      </c>
      <c r="U18" s="16"/>
      <c r="V18" s="13"/>
      <c r="W18" s="14"/>
      <c r="Y18" s="318" t="s">
        <v>388</v>
      </c>
      <c r="Z18" s="318" t="str">
        <f>IF(AND(Z16="ProtectedA",Z17="Protected"),"ProtectedA",Z17)</f>
        <v>Protected</v>
      </c>
      <c r="AA18" s="318" t="str">
        <f>IF(AND(AA16="ProtectedA",AA17="Protected"),"ProtectedA",AA17)</f>
        <v>ProtectedA</v>
      </c>
      <c r="AB18" s="318" t="str">
        <f>IF(AND(AB16="ProtectedA",AB17="Protected"),"ProtectedA",AB17)</f>
        <v>Permitted</v>
      </c>
      <c r="AC18" s="318" t="str">
        <f>IF(AND(AC16="ProtectedA",AC17="Protected"),"ProtectedA",AC17)</f>
        <v>Permitted</v>
      </c>
      <c r="AI18" s="344" t="s">
        <v>409</v>
      </c>
      <c r="AJ18" s="344">
        <f>IF(AJ17=0,0,ROUND(($C$25-$C$23)*(AJ17/$O$17)+AJ15,1))</f>
        <v>9</v>
      </c>
      <c r="AK18" s="344">
        <f>IF(AK17=0,0,ROUND(($C$25-$C$23)*(AK17/$O$17)+AK15,1))</f>
        <v>1.2</v>
      </c>
      <c r="AL18" s="344">
        <f>IF(AL17=0,0,ROUND(($C$25-$C$23)*(AL17/$O$17)+AL15,1))</f>
        <v>36.299999999999997</v>
      </c>
      <c r="BI18" s="488"/>
      <c r="BJ18" s="488"/>
      <c r="BK18" s="488"/>
      <c r="BL18" s="488"/>
      <c r="BM18" s="488"/>
      <c r="BN18" s="488"/>
      <c r="BO18" s="488"/>
      <c r="BP18" s="488"/>
      <c r="BQ18" s="488"/>
      <c r="BR18" s="488"/>
      <c r="BS18" s="488"/>
      <c r="BT18" s="488"/>
      <c r="BU18" s="488"/>
      <c r="BV18" s="488"/>
      <c r="BW18" s="488"/>
      <c r="BX18" s="488"/>
    </row>
    <row r="19" spans="2:76" s="110" customFormat="1" x14ac:dyDescent="0.25">
      <c r="B19" s="296" t="s">
        <v>125</v>
      </c>
      <c r="C19" s="297">
        <f>'Phase designation'!B28</f>
        <v>0</v>
      </c>
      <c r="D19" s="298">
        <f>'Phase designation'!C28</f>
        <v>0</v>
      </c>
      <c r="E19" s="298">
        <f>D18</f>
        <v>2</v>
      </c>
      <c r="F19" s="297">
        <f>'Phase designation'!D28</f>
        <v>0</v>
      </c>
      <c r="G19" s="298">
        <f>'Phase designation'!E28</f>
        <v>0</v>
      </c>
      <c r="H19" s="298">
        <f>D18</f>
        <v>2</v>
      </c>
      <c r="I19" s="297">
        <f>'Phase designation'!F28</f>
        <v>8</v>
      </c>
      <c r="J19" s="298">
        <f>'Phase designation'!G28</f>
        <v>0</v>
      </c>
      <c r="K19" s="298">
        <f>J18</f>
        <v>8</v>
      </c>
      <c r="L19" s="297">
        <f>'Phase designation'!H28</f>
        <v>4</v>
      </c>
      <c r="M19" s="298">
        <f>'Phase designation'!I28</f>
        <v>0</v>
      </c>
      <c r="N19" s="298">
        <f>M18</f>
        <v>4</v>
      </c>
      <c r="O19" s="347"/>
      <c r="P19" s="195"/>
      <c r="Q19" s="108"/>
      <c r="R19" s="530"/>
      <c r="S19" s="107">
        <v>2</v>
      </c>
      <c r="T19" s="107">
        <v>0.97099999999999997</v>
      </c>
      <c r="U19" s="106"/>
      <c r="V19" s="109"/>
      <c r="W19" s="109"/>
      <c r="Y19" s="226" t="s">
        <v>396</v>
      </c>
      <c r="Z19" s="524" t="str">
        <f>IF(OR(AND(Z18="Not opposed", AA18="Protected"),AND(AA18="Not opposed", Z18="Protected")),"ProtectedA Protected",Z18&amp;" "&amp;AA18)</f>
        <v>Protected ProtectedA</v>
      </c>
      <c r="AA19" s="524"/>
      <c r="AB19" s="524" t="str">
        <f>IF(OR(AND(AB18="Protected",AC18="Not opposed"),AND(AC18="Protected",AB18="Not opposed")),"Protected ProtectedA",AB18&amp;" "&amp;AC18)</f>
        <v>Permitted Permitted</v>
      </c>
      <c r="AC19" s="524"/>
      <c r="AE19" s="198"/>
      <c r="AF19" s="198"/>
      <c r="AG19" s="198"/>
      <c r="AH19" s="301" t="s">
        <v>395</v>
      </c>
      <c r="AI19" s="78" t="s">
        <v>398</v>
      </c>
      <c r="AJ19" s="78" t="s">
        <v>124</v>
      </c>
      <c r="AK19" s="77"/>
      <c r="AL19" s="77"/>
      <c r="AM19" s="77"/>
      <c r="AN19" s="77" t="s">
        <v>399</v>
      </c>
      <c r="AO19" s="77" t="s">
        <v>124</v>
      </c>
      <c r="AP19" s="77"/>
      <c r="AQ19" s="77"/>
      <c r="AR19" s="77"/>
      <c r="AS19" s="77" t="s">
        <v>400</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25">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397</v>
      </c>
      <c r="Z20" s="499">
        <f>MATCH(Z19,AE3:AE11,0)</f>
        <v>7</v>
      </c>
      <c r="AA20" s="499"/>
      <c r="AB20" s="499">
        <f>MATCH(AB19,AF3:AF11,0)</f>
        <v>1</v>
      </c>
      <c r="AC20" s="499"/>
      <c r="AI20" s="78" t="s">
        <v>385</v>
      </c>
      <c r="AJ20" s="78">
        <v>1</v>
      </c>
      <c r="AK20" s="77">
        <v>2</v>
      </c>
      <c r="AL20" s="77">
        <v>3</v>
      </c>
      <c r="AN20" s="77" t="s">
        <v>385</v>
      </c>
      <c r="AO20" s="77">
        <v>1</v>
      </c>
      <c r="AP20" s="77">
        <v>2</v>
      </c>
      <c r="AQ20" s="77">
        <v>3</v>
      </c>
      <c r="AS20" s="77" t="s">
        <v>385</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25">
      <c r="B21" s="348"/>
      <c r="C21" s="250"/>
      <c r="D21" s="251"/>
      <c r="E21" s="251"/>
      <c r="F21" s="250"/>
      <c r="G21" s="251"/>
      <c r="H21" s="251"/>
      <c r="I21" s="250"/>
      <c r="J21" s="251"/>
      <c r="K21" s="251"/>
      <c r="L21" s="250"/>
      <c r="M21" s="251"/>
      <c r="N21" s="251"/>
      <c r="O21" s="250"/>
      <c r="Q21" s="10"/>
      <c r="R21" s="104"/>
      <c r="S21" s="25"/>
      <c r="T21" s="25"/>
      <c r="U21" s="16"/>
      <c r="V21" s="16"/>
      <c r="W21" s="15"/>
      <c r="Y21" s="319" t="s">
        <v>385</v>
      </c>
      <c r="Z21" s="499" t="str">
        <f>INDEX(AD3:AD13,Z20)</f>
        <v>3b</v>
      </c>
      <c r="AA21" s="499"/>
      <c r="AB21" s="499" t="str">
        <f>INDEX(AD3:AD11,AB20)</f>
        <v>1a</v>
      </c>
      <c r="AC21" s="499"/>
      <c r="AI21" s="78" t="s">
        <v>377</v>
      </c>
      <c r="AJ21" s="78">
        <v>4</v>
      </c>
      <c r="AN21" s="77" t="s">
        <v>377</v>
      </c>
      <c r="AO21" s="340" t="s">
        <v>405</v>
      </c>
      <c r="AP21" s="340"/>
      <c r="AQ21" s="340"/>
      <c r="AS21" s="77" t="s">
        <v>377</v>
      </c>
      <c r="AT21" s="77">
        <f>MAX(J16,I16,M16,L16)</f>
        <v>425</v>
      </c>
      <c r="BI21" s="488"/>
      <c r="BJ21" s="488"/>
      <c r="BK21" s="488"/>
      <c r="BL21" s="488"/>
      <c r="BM21" s="488"/>
      <c r="BN21" s="488"/>
      <c r="BO21" s="488"/>
      <c r="BP21" s="488"/>
      <c r="BQ21" s="488"/>
      <c r="BR21" s="488"/>
      <c r="BS21" s="488"/>
      <c r="BT21" s="488"/>
      <c r="BU21" s="488"/>
      <c r="BV21" s="488"/>
      <c r="BW21" s="488"/>
      <c r="BX21" s="488"/>
    </row>
    <row r="22" spans="2:76" x14ac:dyDescent="0.25">
      <c r="B22" s="77"/>
      <c r="C22" s="77"/>
      <c r="D22" s="77"/>
      <c r="E22" s="77"/>
      <c r="F22" s="77"/>
      <c r="G22" s="101"/>
      <c r="H22" s="101"/>
      <c r="I22" s="101"/>
      <c r="J22" s="101"/>
      <c r="K22" s="101"/>
      <c r="L22" s="101"/>
      <c r="M22" s="101"/>
      <c r="N22" s="101"/>
      <c r="O22" s="77"/>
      <c r="Q22" s="10"/>
      <c r="R22" s="104"/>
      <c r="S22" s="25"/>
      <c r="T22" s="29"/>
      <c r="U22" s="16"/>
      <c r="V22" s="101" t="s">
        <v>233</v>
      </c>
      <c r="W22" s="15"/>
      <c r="AI22" s="78" t="s">
        <v>378</v>
      </c>
      <c r="AJ22" s="78">
        <v>4</v>
      </c>
      <c r="AN22" s="77" t="s">
        <v>378</v>
      </c>
      <c r="AO22" s="340" t="s">
        <v>405</v>
      </c>
      <c r="AP22" s="340"/>
      <c r="AQ22" s="340"/>
      <c r="AS22" s="77" t="s">
        <v>378</v>
      </c>
      <c r="AT22" s="324">
        <f>MAX(J16,I16,M16,L16)</f>
        <v>425</v>
      </c>
      <c r="BI22" s="488"/>
      <c r="BJ22" s="488"/>
      <c r="BK22" s="488"/>
      <c r="BL22" s="488"/>
      <c r="BM22" s="488"/>
      <c r="BN22" s="488"/>
      <c r="BO22" s="488"/>
      <c r="BP22" s="488"/>
      <c r="BQ22" s="488"/>
      <c r="BR22" s="488"/>
      <c r="BS22" s="488"/>
      <c r="BT22" s="488"/>
      <c r="BU22" s="488"/>
      <c r="BV22" s="488"/>
      <c r="BW22" s="488"/>
      <c r="BX22" s="488"/>
    </row>
    <row r="23" spans="2:76" x14ac:dyDescent="0.25">
      <c r="B23" s="328" t="s">
        <v>429</v>
      </c>
      <c r="C23" s="328">
        <f>SUM(AJ15:AL15,AJ31:AL31)</f>
        <v>12</v>
      </c>
      <c r="F23" s="101"/>
      <c r="H23" s="101"/>
      <c r="M23" s="101"/>
      <c r="N23" s="101"/>
      <c r="O23" s="77"/>
      <c r="S23" s="85"/>
      <c r="V23" s="101">
        <f>IF(O17&gt;=O11,140,C23/(1-(O17/O11)))</f>
        <v>69.80988593155891</v>
      </c>
      <c r="Y23" s="331" t="s">
        <v>438</v>
      </c>
      <c r="Z23" s="331" t="s">
        <v>439</v>
      </c>
      <c r="AA23" s="331" t="s">
        <v>440</v>
      </c>
      <c r="AB23" s="101" t="s">
        <v>305</v>
      </c>
      <c r="AC23" s="331" t="s">
        <v>441</v>
      </c>
      <c r="AI23" s="78" t="s">
        <v>379</v>
      </c>
      <c r="AJ23" s="78">
        <v>4</v>
      </c>
      <c r="AN23" s="77" t="s">
        <v>379</v>
      </c>
      <c r="AO23" s="340" t="s">
        <v>405</v>
      </c>
      <c r="AP23" s="340"/>
      <c r="AQ23" s="340"/>
      <c r="AS23" s="77" t="s">
        <v>379</v>
      </c>
      <c r="AT23" s="324">
        <f>MAX(J16,I16,M16,L16)</f>
        <v>425</v>
      </c>
      <c r="BI23" s="488"/>
      <c r="BJ23" s="488"/>
      <c r="BK23" s="488"/>
      <c r="BL23" s="488"/>
      <c r="BM23" s="488"/>
      <c r="BN23" s="488"/>
      <c r="BO23" s="488"/>
      <c r="BP23" s="488"/>
      <c r="BQ23" s="488"/>
      <c r="BR23" s="488"/>
      <c r="BS23" s="488"/>
      <c r="BT23" s="488"/>
      <c r="BU23" s="488"/>
      <c r="BV23" s="488"/>
      <c r="BW23" s="488"/>
      <c r="BX23" s="488"/>
    </row>
    <row r="24" spans="2:76" x14ac:dyDescent="0.25">
      <c r="B24" s="330" t="s">
        <v>430</v>
      </c>
      <c r="C24" s="366">
        <f>C23/(1-(O17/O11))</f>
        <v>69.80988593155891</v>
      </c>
      <c r="D24" s="529" t="s">
        <v>443</v>
      </c>
      <c r="E24" s="529"/>
      <c r="F24" s="372">
        <f>V25</f>
        <v>40</v>
      </c>
      <c r="H24" s="101"/>
      <c r="M24" s="101"/>
      <c r="N24" s="101"/>
      <c r="O24" s="77"/>
      <c r="U24" s="101" t="s">
        <v>442</v>
      </c>
      <c r="V24" s="101" t="s">
        <v>302</v>
      </c>
      <c r="Y24" s="3">
        <v>-100000</v>
      </c>
      <c r="Z24" s="3">
        <v>0</v>
      </c>
      <c r="AA24" s="3">
        <f>'Input sheet'!V9</f>
        <v>150</v>
      </c>
      <c r="AB24" s="101">
        <f>V23</f>
        <v>69.80988593155891</v>
      </c>
      <c r="AC24" s="3">
        <f>LOOKUP(AB24,Y24:Z37,AA24:AA37)</f>
        <v>70</v>
      </c>
      <c r="AI24" s="78" t="s">
        <v>380</v>
      </c>
      <c r="AJ24" s="78">
        <v>4</v>
      </c>
      <c r="AK24" s="77">
        <v>4</v>
      </c>
      <c r="AN24" s="77" t="s">
        <v>380</v>
      </c>
      <c r="AO24" s="340" t="s">
        <v>406</v>
      </c>
      <c r="AP24" s="340" t="s">
        <v>405</v>
      </c>
      <c r="AQ24" s="340"/>
      <c r="AS24" s="77" t="s">
        <v>380</v>
      </c>
      <c r="AT24" s="77">
        <f>L16</f>
        <v>0</v>
      </c>
      <c r="AU24" s="324">
        <f>MAX(M16-L16,J16)</f>
        <v>425</v>
      </c>
    </row>
    <row r="25" spans="2:76" x14ac:dyDescent="0.25">
      <c r="B25" s="329" t="s">
        <v>431</v>
      </c>
      <c r="C25" s="244">
        <f>V27</f>
        <v>70</v>
      </c>
      <c r="D25" s="65">
        <f>V27</f>
        <v>70</v>
      </c>
      <c r="E25" s="77"/>
      <c r="F25" s="77"/>
      <c r="G25" s="101"/>
      <c r="H25" s="101"/>
      <c r="I25" s="101"/>
      <c r="J25" s="101"/>
      <c r="K25" s="101"/>
      <c r="L25" s="101"/>
      <c r="M25" s="101"/>
      <c r="N25" s="101"/>
      <c r="O25" s="77"/>
      <c r="Q25" s="75"/>
      <c r="R25" s="75"/>
      <c r="S25" s="75"/>
      <c r="U25" s="3">
        <f>Phasing!L27</f>
        <v>39</v>
      </c>
      <c r="V25" s="101">
        <f>10*ROUNDUP(U25/10,0)</f>
        <v>40</v>
      </c>
      <c r="Y25" s="3">
        <v>0</v>
      </c>
      <c r="Z25" s="3">
        <v>40</v>
      </c>
      <c r="AA25" s="3">
        <f>'Input sheet'!V8</f>
        <v>40</v>
      </c>
      <c r="AI25" s="78" t="s">
        <v>381</v>
      </c>
      <c r="AJ25" s="78">
        <v>4</v>
      </c>
      <c r="AK25" s="77">
        <v>4</v>
      </c>
      <c r="AN25" s="77" t="s">
        <v>381</v>
      </c>
      <c r="AO25" s="340" t="s">
        <v>407</v>
      </c>
      <c r="AP25" s="340" t="s">
        <v>405</v>
      </c>
      <c r="AQ25" s="340"/>
      <c r="AS25" s="77" t="s">
        <v>381</v>
      </c>
      <c r="AT25" s="77">
        <f>I16</f>
        <v>0</v>
      </c>
      <c r="AU25" s="77">
        <f>MAX(J16-I16,M16)</f>
        <v>425</v>
      </c>
    </row>
    <row r="26" spans="2:76" hidden="1" x14ac:dyDescent="0.25">
      <c r="B26" s="77" t="s">
        <v>244</v>
      </c>
      <c r="C26" s="77">
        <f>C7</f>
        <v>100</v>
      </c>
      <c r="D26" s="77">
        <f>IF(AND(C18=0,C26&gt;0,D3=0),C26,D7)</f>
        <v>650</v>
      </c>
      <c r="E26" s="77"/>
      <c r="F26" s="77">
        <f>F7</f>
        <v>125</v>
      </c>
      <c r="G26" s="77">
        <f>IF(AND(F18=0,F26&gt;0,G3=0),F26,G7)</f>
        <v>733</v>
      </c>
      <c r="H26" s="77"/>
      <c r="I26" s="77">
        <f>I7</f>
        <v>75</v>
      </c>
      <c r="J26" s="77">
        <f>IF(AND(I18=0,I26&gt;0,J3=0),I26,J7)</f>
        <v>325</v>
      </c>
      <c r="K26" s="77"/>
      <c r="L26" s="77">
        <f>L7</f>
        <v>100</v>
      </c>
      <c r="M26" s="77">
        <f>IF(AND(L18=0,L26&gt;0,M3=0),L26,M7)</f>
        <v>425</v>
      </c>
      <c r="N26" s="77"/>
      <c r="O26" s="77"/>
      <c r="V26" s="291" t="s">
        <v>345</v>
      </c>
      <c r="Y26" s="3">
        <f>Z25+0.001</f>
        <v>40.000999999999998</v>
      </c>
      <c r="Z26" s="3">
        <f>Z25+10</f>
        <v>50</v>
      </c>
      <c r="AA26" s="3">
        <f>AA25+10</f>
        <v>50</v>
      </c>
      <c r="AI26" s="78" t="s">
        <v>382</v>
      </c>
      <c r="AJ26" s="78">
        <v>4</v>
      </c>
      <c r="AK26" s="77">
        <v>0</v>
      </c>
      <c r="AL26" s="77">
        <v>4</v>
      </c>
      <c r="AN26" s="77" t="s">
        <v>382</v>
      </c>
      <c r="AO26" s="340" t="s">
        <v>408</v>
      </c>
      <c r="AP26" s="340" t="s">
        <v>407</v>
      </c>
      <c r="AQ26" s="340" t="s">
        <v>405</v>
      </c>
      <c r="AS26" s="77" t="s">
        <v>382</v>
      </c>
      <c r="AT26" s="77">
        <f>L16</f>
        <v>0</v>
      </c>
      <c r="AU26" s="77">
        <f>I16-L16</f>
        <v>0</v>
      </c>
      <c r="AV26" s="77">
        <f>MAX(M16,J16-(I16-L16))</f>
        <v>425</v>
      </c>
    </row>
    <row r="27" spans="2:76" hidden="1" x14ac:dyDescent="0.25">
      <c r="B27" s="77" t="s">
        <v>128</v>
      </c>
      <c r="C27" s="77">
        <f>IF(C18=0,0,MATCH(C26,'Max greens'!$B:$B))</f>
        <v>9</v>
      </c>
      <c r="D27" s="77">
        <f>IF(D18=0,0,MATCH(D26,'Max greens'!$B:$B))</f>
        <v>14</v>
      </c>
      <c r="E27" s="77"/>
      <c r="F27" s="77">
        <f>IF(F18=0,0,MATCH(F26,'Max greens'!$B:$B))</f>
        <v>9</v>
      </c>
      <c r="G27" s="77">
        <f>IF(G18=0,0,MATCH(G26,'Max greens'!$B:$B))</f>
        <v>15</v>
      </c>
      <c r="H27" s="77"/>
      <c r="I27" s="77">
        <f>IF(I18=0,0,MATCH(I26,'Max greens'!$B:$B))</f>
        <v>0</v>
      </c>
      <c r="J27" s="77">
        <f>IF(J18=0,0,MATCH(J26,'Max greens'!$B:$B))</f>
        <v>11</v>
      </c>
      <c r="K27" s="77"/>
      <c r="L27" s="77">
        <f>IF(L18=0,0,MATCH(L26,'Max greens'!$B:$B))</f>
        <v>0</v>
      </c>
      <c r="M27" s="77">
        <f>IF(M18=0,0,MATCH(M26,'Max greens'!$B:$B))</f>
        <v>12</v>
      </c>
      <c r="N27" s="77"/>
      <c r="O27" s="77"/>
      <c r="Q27" s="55"/>
      <c r="R27" s="508" t="s">
        <v>113</v>
      </c>
      <c r="S27" s="508"/>
      <c r="T27" s="508"/>
      <c r="U27" s="508"/>
      <c r="V27" s="77">
        <f>IF(MAX(V25,AC24)&gt;='Input sheet'!V9,'Input sheet'!V9,MAX(V25,AC24))</f>
        <v>70</v>
      </c>
      <c r="Y27" s="331">
        <f t="shared" ref="Y27:Y36" si="6">Z26+0.001</f>
        <v>50.000999999999998</v>
      </c>
      <c r="Z27" s="331">
        <f t="shared" ref="Z27:Z35" si="7">Z26+10</f>
        <v>60</v>
      </c>
      <c r="AA27" s="331">
        <f t="shared" ref="AA27:AA36" si="8">AA26+10</f>
        <v>60</v>
      </c>
      <c r="AI27" s="78" t="s">
        <v>383</v>
      </c>
      <c r="AJ27" s="78">
        <v>4</v>
      </c>
      <c r="AK27" s="77">
        <v>0</v>
      </c>
      <c r="AL27" s="77">
        <v>4</v>
      </c>
      <c r="AN27" s="77" t="s">
        <v>383</v>
      </c>
      <c r="AO27" s="340" t="s">
        <v>408</v>
      </c>
      <c r="AP27" s="340" t="s">
        <v>406</v>
      </c>
      <c r="AQ27" s="340" t="s">
        <v>405</v>
      </c>
      <c r="AS27" s="77" t="s">
        <v>383</v>
      </c>
      <c r="AT27" s="77">
        <f>I16</f>
        <v>0</v>
      </c>
      <c r="AU27" s="77">
        <f>L16-I16</f>
        <v>0</v>
      </c>
      <c r="AV27" s="77">
        <f>MAX(J16,M16-(L16-I16))</f>
        <v>425</v>
      </c>
    </row>
    <row r="28" spans="2:76" hidden="1" x14ac:dyDescent="0.25">
      <c r="B28" s="77" t="s">
        <v>129</v>
      </c>
      <c r="C28" s="77">
        <f>IF(SUM('Phase designation'!B19:H19)&gt;2,0,MATCH($C$25,'Max greens'!5:5))</f>
        <v>6</v>
      </c>
      <c r="D28" s="77">
        <f>IF(SUM('Phase designation'!B19:H19)&gt;2,0,MATCH($C$25,'Max greens'!5:5))</f>
        <v>6</v>
      </c>
      <c r="E28" s="77"/>
      <c r="F28" s="77">
        <f>IF(SUM('Phase designation'!B19:H19)&gt;2,0,MATCH($C$25,'Max greens'!5:5))</f>
        <v>6</v>
      </c>
      <c r="G28" s="77">
        <f>IF(SUM('Phase designation'!B19:H19)&gt;2,0,MATCH($C$25,'Max greens'!5:5))</f>
        <v>6</v>
      </c>
      <c r="H28" s="77"/>
      <c r="I28" s="77">
        <f>IF(SUM('Phase designation'!B19:H19)&gt;2,0,MATCH($C$25,'Max greens'!5:5))</f>
        <v>6</v>
      </c>
      <c r="J28" s="77">
        <f>IF(SUM('Phase designation'!B19:H19)&gt;2,0,MATCH($C$25,'Max greens'!5:5))</f>
        <v>6</v>
      </c>
      <c r="K28" s="77"/>
      <c r="L28" s="77">
        <f>IF(SUM('Phase designation'!B19:H19)&gt;2,0,MATCH($C$25,'Max greens'!5:5))</f>
        <v>6</v>
      </c>
      <c r="M28" s="77">
        <f>IF(SUM('Phase designation'!B19:H19)&gt;2,0,MATCH($C$25,'Max greens'!5:5))</f>
        <v>6</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407</v>
      </c>
      <c r="AP28" s="340" t="s">
        <v>406</v>
      </c>
      <c r="AQ28" s="340"/>
      <c r="AS28" s="77">
        <v>4</v>
      </c>
      <c r="AT28" s="77">
        <f>MAX(J16,I16)</f>
        <v>325</v>
      </c>
      <c r="AU28" s="77">
        <f>MAX(M16,L16)</f>
        <v>425</v>
      </c>
    </row>
    <row r="29" spans="2:76" hidden="1" x14ac:dyDescent="0.25">
      <c r="B29" s="324" t="s">
        <v>256</v>
      </c>
      <c r="C29" s="350">
        <f>MAX(INDEX('Max greens'!1:1048576,C27,C28),C34-C35-C36)</f>
        <v>15</v>
      </c>
      <c r="D29" s="350">
        <f>MAX(INDEX('Max greens'!1:1048576,D27,D28),D34-D35-D36)</f>
        <v>36</v>
      </c>
      <c r="E29" s="350">
        <f>D29</f>
        <v>36</v>
      </c>
      <c r="F29" s="350">
        <f>MAX(INDEX('Max greens'!1:1048576,F27,F28),F34-F35-F36)</f>
        <v>15</v>
      </c>
      <c r="G29" s="350">
        <f>MAX(INDEX('Max greens'!1:1048576,G27,G28),G34-G35-G36)</f>
        <v>42</v>
      </c>
      <c r="H29" s="350">
        <f>G29</f>
        <v>42</v>
      </c>
      <c r="I29" s="350">
        <f>MAX(INDEX('Max greens'!1:1048576,I27,I28),I34-I35-I36)</f>
        <v>70</v>
      </c>
      <c r="J29" s="350">
        <f>MAX(INDEX('Max greens'!1:1048576,J27,J28),J34-J35-J36)</f>
        <v>19</v>
      </c>
      <c r="K29" s="350">
        <f>J29</f>
        <v>19</v>
      </c>
      <c r="L29" s="350">
        <f>MAX(INDEX('Max greens'!1:1048576,L27,L28),L34-L35-L36)</f>
        <v>70</v>
      </c>
      <c r="M29" s="350">
        <f>MAX(INDEX('Max greens'!1:1048576,M27,M28),M34-M35-M36)</f>
        <v>24</v>
      </c>
      <c r="N29" s="350">
        <f>M29</f>
        <v>24</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25">
      <c r="B30" s="324" t="s">
        <v>422</v>
      </c>
      <c r="C30" s="77">
        <f>IF(SUM('Phase designation'!B19:H19)&gt;2,0,AQ48)</f>
        <v>9</v>
      </c>
      <c r="D30" s="324">
        <f>IF(SUM('Phase designation'!B19:H19)&gt;2,0,AR48)</f>
        <v>36.299999999999997</v>
      </c>
      <c r="E30" s="324">
        <f>IF(SUM('Phase designation'!B19:H19)&gt;2,0,AS48)</f>
        <v>36.299999999999997</v>
      </c>
      <c r="F30" s="324">
        <f>IF(SUM('Phase designation'!B19:H19)&gt;2,0,AT48)</f>
        <v>10.199999999999999</v>
      </c>
      <c r="G30" s="324">
        <f>IF(SUM('Phase designation'!B19:H19)&gt;2,0,AU48)</f>
        <v>37.5</v>
      </c>
      <c r="H30" s="324">
        <f>IF(SUM('Phase designation'!B19:H19)&gt;2,0,AV48)</f>
        <v>37.5</v>
      </c>
      <c r="I30" s="324">
        <f>IF(SUM('Phase designation'!B19:H19)&gt;2,0,AW48)</f>
        <v>0</v>
      </c>
      <c r="J30" s="324">
        <f>IF(SUM('Phase designation'!B19:H19)&gt;2,0,AX48)</f>
        <v>23.5</v>
      </c>
      <c r="K30" s="324">
        <f>IF(SUM('Phase designation'!B19:H19)&gt;2,0,AY48)</f>
        <v>23.5</v>
      </c>
      <c r="L30" s="324">
        <f>IF(SUM('Phase designation'!B19:H19)&gt;2,0,AZ48)</f>
        <v>0</v>
      </c>
      <c r="M30" s="324">
        <f>IF(SUM('Phase designation'!B19:H19)&gt;2,0,BA48)</f>
        <v>23.5</v>
      </c>
      <c r="N30" s="324">
        <f>IF(SUM('Phase designation'!B19:H19)&gt;2,0,BB48)</f>
        <v>23.5</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395</v>
      </c>
      <c r="AI30" s="342" t="str">
        <f>AB21</f>
        <v>1a</v>
      </c>
      <c r="AJ30" s="167"/>
      <c r="AK30" s="318"/>
      <c r="AL30" s="318"/>
    </row>
    <row r="31" spans="2:76" s="69" customFormat="1" x14ac:dyDescent="0.25">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34"/>
    </row>
    <row r="32" spans="2:76" x14ac:dyDescent="0.25">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399</v>
      </c>
      <c r="AJ32" s="167" t="str">
        <f>INDEX(AO21:AO28,MATCH($AI$30,$AN$21:$AN$28,0))</f>
        <v>NBSBTH</v>
      </c>
      <c r="AK32" s="167">
        <f>INDEX(AP21:AP28,MATCH($AI$30,$AN$21:$AN$28,0))</f>
        <v>0</v>
      </c>
      <c r="AL32" s="167">
        <f>INDEX(AQ21:AQ28,MATCH($AI$30,$AN$21:$AN$28,0))</f>
        <v>0</v>
      </c>
    </row>
    <row r="33" spans="2:63" x14ac:dyDescent="0.25">
      <c r="B33" s="77" t="s">
        <v>124</v>
      </c>
      <c r="C33" s="250">
        <f>IF('Phase designation'!B19=2,D33,C18)</f>
        <v>5</v>
      </c>
      <c r="D33" s="251">
        <f>D18</f>
        <v>2</v>
      </c>
      <c r="E33" s="251">
        <f>D33</f>
        <v>2</v>
      </c>
      <c r="F33" s="250">
        <f>IF('Phase designation'!D19=2,G33,F18)</f>
        <v>1</v>
      </c>
      <c r="G33" s="251">
        <f>G18</f>
        <v>6</v>
      </c>
      <c r="H33" s="251">
        <f>G33</f>
        <v>6</v>
      </c>
      <c r="I33" s="250">
        <f>IF('Phase designation'!F19=2,J33,I18)</f>
        <v>0</v>
      </c>
      <c r="J33" s="251">
        <f>J18</f>
        <v>8</v>
      </c>
      <c r="K33" s="251">
        <f>J33</f>
        <v>8</v>
      </c>
      <c r="L33" s="250">
        <f>IF('Phase designation'!H19=2,M33,L18)</f>
        <v>0</v>
      </c>
      <c r="M33" s="251">
        <f>M18</f>
        <v>4</v>
      </c>
      <c r="N33" s="251">
        <f>M33</f>
        <v>4</v>
      </c>
      <c r="O33" s="324"/>
      <c r="Y33" s="331">
        <f t="shared" si="6"/>
        <v>110.001</v>
      </c>
      <c r="Z33" s="331">
        <f t="shared" si="7"/>
        <v>120</v>
      </c>
      <c r="AA33" s="331">
        <f t="shared" si="8"/>
        <v>120</v>
      </c>
      <c r="AI33" s="167" t="s">
        <v>400</v>
      </c>
      <c r="AJ33" s="167">
        <f>INDEX(AT21:AT28,MATCH($AI$30,$AS$21:$AS$28,0))</f>
        <v>425</v>
      </c>
      <c r="AK33" s="167">
        <f>INDEX(AU21:AU28,MATCH($AI$30,$AS$21:$AS$28,0))</f>
        <v>0</v>
      </c>
      <c r="AL33" s="167">
        <f>INDEX(AV21:AV28,MATCH($AI$30,$AS$21:$AS$28,0))</f>
        <v>0</v>
      </c>
      <c r="AP33" s="494" t="s">
        <v>394</v>
      </c>
      <c r="AQ33" s="318" t="str">
        <f>AJ16</f>
        <v>EBWBLT</v>
      </c>
      <c r="AR33" s="318" t="str">
        <f>AK16</f>
        <v>WBTHLT</v>
      </c>
      <c r="AS33" s="318" t="str">
        <f>AL16</f>
        <v>EBWBTH</v>
      </c>
      <c r="AT33" s="242"/>
      <c r="AU33" s="242"/>
      <c r="AV33" s="242"/>
      <c r="AW33" s="242"/>
      <c r="AX33" s="242"/>
      <c r="AY33" s="242"/>
      <c r="AZ33" s="242"/>
      <c r="BA33" s="242"/>
      <c r="BB33" s="242"/>
    </row>
    <row r="34" spans="2:63" x14ac:dyDescent="0.25">
      <c r="B34" s="256" t="s">
        <v>134</v>
      </c>
      <c r="C34" s="325">
        <f>IF(C33=0,0,INDEX($Q$64:$X$64,1,Q69))</f>
        <v>9</v>
      </c>
      <c r="D34" s="326">
        <f>IF(D33=0,0,INDEX($Q$64:$X$64,1,R69))</f>
        <v>36</v>
      </c>
      <c r="E34" s="326">
        <f>D34</f>
        <v>36</v>
      </c>
      <c r="F34" s="325">
        <f>IF(F33=0,0,INDEX($Q$64:$X$64,1,S69))</f>
        <v>10</v>
      </c>
      <c r="G34" s="326">
        <f>IF(G33=0,0,INDEX($Q$64:$X$64,1,T69))</f>
        <v>37</v>
      </c>
      <c r="H34" s="326">
        <f>G34</f>
        <v>37</v>
      </c>
      <c r="I34" s="325">
        <f>IF(I33=0,0,INDEX($Q$64:$X$64,1,U69))</f>
        <v>0</v>
      </c>
      <c r="J34" s="326">
        <f>IF(J33=0,0,INDEX($Q$64:$X$64,1,V69))</f>
        <v>24</v>
      </c>
      <c r="K34" s="326">
        <f>J34</f>
        <v>24</v>
      </c>
      <c r="L34" s="325">
        <f>IF(L33=0,0,INDEX($Q$64:$X$64,1,W69))</f>
        <v>0</v>
      </c>
      <c r="M34" s="326">
        <f>IF(M33=0,0,INDEX($Q$64:$X$64,1,X69))</f>
        <v>24</v>
      </c>
      <c r="N34" s="326">
        <f>M34</f>
        <v>24</v>
      </c>
      <c r="O34" s="324"/>
      <c r="Y34" s="331">
        <f t="shared" si="6"/>
        <v>120.001</v>
      </c>
      <c r="Z34" s="331">
        <f t="shared" si="7"/>
        <v>130</v>
      </c>
      <c r="AA34" s="331">
        <f t="shared" si="8"/>
        <v>130</v>
      </c>
      <c r="AI34" s="344" t="s">
        <v>409</v>
      </c>
      <c r="AJ34" s="344">
        <f>IF(AJ33=0,0,ROUND(($C$25-$C$23)*(AJ33/$O$17)+AJ31,1))</f>
        <v>23.5</v>
      </c>
      <c r="AK34" s="344">
        <f>IF(AK33=0,0,ROUND(($C$25-$C$23)*(AK33/$O$17)+AK31,1))</f>
        <v>0</v>
      </c>
      <c r="AL34" s="344">
        <f>IF(AL33=0,0,ROUND(($C$25-$C$23)*(AL33/$O$17)+AL31,1))</f>
        <v>0</v>
      </c>
      <c r="AP34" s="494"/>
      <c r="AQ34" s="304">
        <f>AJ18</f>
        <v>9</v>
      </c>
      <c r="AR34" s="304">
        <f>AK18</f>
        <v>1.2</v>
      </c>
      <c r="AS34" s="304">
        <f>AL18</f>
        <v>36.299999999999997</v>
      </c>
      <c r="AT34" s="3"/>
      <c r="AU34" s="3"/>
      <c r="AV34" s="3"/>
    </row>
    <row r="35" spans="2:63" s="240" customFormat="1" x14ac:dyDescent="0.25">
      <c r="B35" s="77" t="s">
        <v>261</v>
      </c>
      <c r="C35" s="250">
        <f>Phasing!O8</f>
        <v>3.9</v>
      </c>
      <c r="D35" s="251">
        <f>Phasing!P8</f>
        <v>3.9</v>
      </c>
      <c r="E35" s="251">
        <f>D35</f>
        <v>3.9</v>
      </c>
      <c r="F35" s="250">
        <f>Phasing!Q8</f>
        <v>3.9</v>
      </c>
      <c r="G35" s="251">
        <f>Phasing!R8</f>
        <v>3.9</v>
      </c>
      <c r="H35" s="251">
        <f>G35</f>
        <v>3.9</v>
      </c>
      <c r="I35" s="250">
        <f>Phasing!S8</f>
        <v>3.2</v>
      </c>
      <c r="J35" s="251">
        <f>Phasing!T8</f>
        <v>3.2</v>
      </c>
      <c r="K35" s="251">
        <f>J35</f>
        <v>3.2</v>
      </c>
      <c r="L35" s="250">
        <f>Phasing!U8</f>
        <v>3.2</v>
      </c>
      <c r="M35" s="251">
        <f>Phasing!V8</f>
        <v>3.2</v>
      </c>
      <c r="N35" s="251">
        <f>M35</f>
        <v>3.2</v>
      </c>
      <c r="O35" s="324"/>
      <c r="P35" s="291"/>
      <c r="Q35" s="77">
        <f>C33</f>
        <v>5</v>
      </c>
      <c r="R35" s="77">
        <f>D33</f>
        <v>2</v>
      </c>
      <c r="S35" s="77">
        <f>F33</f>
        <v>1</v>
      </c>
      <c r="T35" s="77">
        <f>G33</f>
        <v>6</v>
      </c>
      <c r="U35" s="77">
        <f>I33</f>
        <v>0</v>
      </c>
      <c r="V35" s="77">
        <f>J33</f>
        <v>8</v>
      </c>
      <c r="W35" s="77">
        <f>L33</f>
        <v>0</v>
      </c>
      <c r="X35" s="77">
        <f>M33</f>
        <v>4</v>
      </c>
      <c r="Y35" s="331">
        <f t="shared" si="6"/>
        <v>130.001</v>
      </c>
      <c r="Z35" s="331">
        <f t="shared" si="7"/>
        <v>140</v>
      </c>
      <c r="AA35" s="331">
        <f t="shared" si="8"/>
        <v>140</v>
      </c>
      <c r="AE35" s="78"/>
      <c r="AF35" s="78"/>
      <c r="AG35" s="78"/>
      <c r="AH35" s="78"/>
      <c r="AI35" s="78"/>
      <c r="AJ35" s="251"/>
      <c r="AK35" s="324"/>
      <c r="AL35" s="324"/>
      <c r="AM35" s="77"/>
      <c r="AN35" s="77"/>
      <c r="AO35" s="77"/>
      <c r="AP35" s="519" t="s">
        <v>395</v>
      </c>
      <c r="AQ35" s="318" t="str">
        <f>AJ32</f>
        <v>NBSBTH</v>
      </c>
      <c r="AR35" s="318">
        <f>AK32</f>
        <v>0</v>
      </c>
      <c r="AS35" s="318">
        <f>AL32</f>
        <v>0</v>
      </c>
      <c r="AT35" s="291"/>
      <c r="AU35" s="291"/>
      <c r="AV35" s="291"/>
      <c r="AW35" s="291"/>
      <c r="AX35" s="291"/>
      <c r="AY35" s="291"/>
      <c r="AZ35" s="291"/>
      <c r="BA35" s="291"/>
      <c r="BB35" s="291"/>
      <c r="BK35" s="434"/>
    </row>
    <row r="36" spans="2:63" s="240" customFormat="1" x14ac:dyDescent="0.25">
      <c r="B36" s="256" t="s">
        <v>262</v>
      </c>
      <c r="C36" s="325">
        <f>Phasing!O11</f>
        <v>0</v>
      </c>
      <c r="D36" s="326">
        <f>Phasing!P11</f>
        <v>0</v>
      </c>
      <c r="E36" s="326">
        <f>D36</f>
        <v>0</v>
      </c>
      <c r="F36" s="325">
        <f>Phasing!Q11</f>
        <v>0</v>
      </c>
      <c r="G36" s="326">
        <f>Phasing!R11</f>
        <v>0</v>
      </c>
      <c r="H36" s="326">
        <f>G36</f>
        <v>0</v>
      </c>
      <c r="I36" s="325">
        <f>Phasing!S11</f>
        <v>2.5</v>
      </c>
      <c r="J36" s="326">
        <f>Phasing!T11</f>
        <v>2.5</v>
      </c>
      <c r="K36" s="326">
        <f>J36</f>
        <v>2.5</v>
      </c>
      <c r="L36" s="325">
        <f>Phasing!U11</f>
        <v>2.5</v>
      </c>
      <c r="M36" s="326">
        <f>Phasing!V11</f>
        <v>2.5</v>
      </c>
      <c r="N36" s="326">
        <f>M36</f>
        <v>2.5</v>
      </c>
      <c r="O36" s="324"/>
      <c r="P36" s="291"/>
      <c r="Q36" s="78">
        <f>Q40</f>
        <v>9</v>
      </c>
      <c r="R36" s="251">
        <f t="shared" ref="R36:X36" si="10">R40</f>
        <v>36.299999999999997</v>
      </c>
      <c r="S36" s="251">
        <f t="shared" si="10"/>
        <v>10.199999999999999</v>
      </c>
      <c r="T36" s="251">
        <f t="shared" si="10"/>
        <v>37.5</v>
      </c>
      <c r="U36" s="251">
        <f t="shared" si="10"/>
        <v>0</v>
      </c>
      <c r="V36" s="251">
        <f t="shared" si="10"/>
        <v>23.5</v>
      </c>
      <c r="W36" s="251">
        <f t="shared" si="10"/>
        <v>0</v>
      </c>
      <c r="X36" s="251">
        <f t="shared" si="10"/>
        <v>23.5</v>
      </c>
      <c r="Y36" s="331">
        <f t="shared" si="6"/>
        <v>140.001</v>
      </c>
      <c r="Z36" s="331">
        <f>Z35+10</f>
        <v>150</v>
      </c>
      <c r="AA36" s="331">
        <f t="shared" si="8"/>
        <v>150</v>
      </c>
      <c r="AE36" s="78"/>
      <c r="AF36" s="78"/>
      <c r="AG36" s="78"/>
      <c r="AH36" s="78"/>
      <c r="AI36" s="78"/>
      <c r="AJ36" s="251"/>
      <c r="AK36" s="324"/>
      <c r="AL36" s="324"/>
      <c r="AM36" s="77"/>
      <c r="AN36" s="77"/>
      <c r="AO36" s="77"/>
      <c r="AP36" s="519"/>
      <c r="AQ36" s="304">
        <f>AJ34</f>
        <v>23.5</v>
      </c>
      <c r="AR36" s="304">
        <f>AK34</f>
        <v>0</v>
      </c>
      <c r="AS36" s="304">
        <f>AL34</f>
        <v>0</v>
      </c>
      <c r="AT36" s="164"/>
      <c r="AU36" s="164"/>
      <c r="AV36" s="164"/>
      <c r="AW36" s="164"/>
      <c r="AX36" s="164"/>
      <c r="AY36" s="164"/>
      <c r="AZ36" s="164"/>
      <c r="BA36" s="164"/>
      <c r="BB36" s="164"/>
      <c r="BK36" s="434"/>
    </row>
    <row r="37" spans="2:63" s="240" customFormat="1" x14ac:dyDescent="0.25">
      <c r="B37" s="77" t="s">
        <v>333</v>
      </c>
      <c r="C37" s="250">
        <f>MAX(0,SUMPRODUCT(C62:C64,D62:D64))</f>
        <v>5.0999999999999996</v>
      </c>
      <c r="D37" s="251">
        <f>MAX(0,D34-D35-D36)</f>
        <v>32.1</v>
      </c>
      <c r="E37" s="251">
        <f>D37</f>
        <v>32.1</v>
      </c>
      <c r="F37" s="250">
        <f>MAX(0,SUMPRODUCT(F62:F64,G62:G64))</f>
        <v>6.1</v>
      </c>
      <c r="G37" s="251">
        <f>MAX(0,G34-G35-G36)</f>
        <v>33.1</v>
      </c>
      <c r="H37" s="251">
        <f>G37</f>
        <v>33.1</v>
      </c>
      <c r="I37" s="250">
        <f>MAX(0,SUMPRODUCT(I62:I64,J62:J64))</f>
        <v>18.3</v>
      </c>
      <c r="J37" s="251">
        <f>MAX(0,J34-J35-J36)</f>
        <v>18.3</v>
      </c>
      <c r="K37" s="251">
        <f>J37</f>
        <v>18.3</v>
      </c>
      <c r="L37" s="250">
        <f>MAX(0,SUMPRODUCT(L62:L64,M62:M64))</f>
        <v>18.3</v>
      </c>
      <c r="M37" s="251">
        <f>MAX(0,M34-M35-M36)</f>
        <v>18.3</v>
      </c>
      <c r="N37" s="251">
        <f>M37</f>
        <v>18.3</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25">
      <c r="B38" s="256" t="s">
        <v>334</v>
      </c>
      <c r="C38" s="325">
        <f>IF(C37=0,0,(C37+C36+C35)-C20)</f>
        <v>5</v>
      </c>
      <c r="D38" s="326">
        <f t="shared" ref="D38:N38" si="11">IF(D37=0,0,(D37+D36+D35)-D20)</f>
        <v>32</v>
      </c>
      <c r="E38" s="326">
        <f t="shared" si="11"/>
        <v>32</v>
      </c>
      <c r="F38" s="325">
        <f t="shared" si="11"/>
        <v>6</v>
      </c>
      <c r="G38" s="326">
        <f t="shared" si="11"/>
        <v>33</v>
      </c>
      <c r="H38" s="326">
        <f t="shared" si="11"/>
        <v>33</v>
      </c>
      <c r="I38" s="325">
        <f t="shared" si="11"/>
        <v>20</v>
      </c>
      <c r="J38" s="326">
        <f t="shared" si="11"/>
        <v>20</v>
      </c>
      <c r="K38" s="326">
        <f t="shared" si="11"/>
        <v>20</v>
      </c>
      <c r="L38" s="325">
        <f t="shared" si="11"/>
        <v>20</v>
      </c>
      <c r="M38" s="326">
        <f t="shared" si="11"/>
        <v>20</v>
      </c>
      <c r="N38" s="326">
        <f t="shared" si="11"/>
        <v>20</v>
      </c>
      <c r="O38" s="324"/>
      <c r="P38" s="291"/>
      <c r="Q38" s="78"/>
      <c r="R38" s="78"/>
      <c r="S38" s="78"/>
      <c r="T38" s="78"/>
      <c r="U38" s="78"/>
      <c r="V38" s="78"/>
      <c r="W38" s="78"/>
      <c r="X38" s="78"/>
      <c r="AE38" s="78"/>
      <c r="AF38" s="78"/>
      <c r="AG38" s="78"/>
      <c r="AH38" s="78"/>
      <c r="AI38" s="78"/>
      <c r="AJ38" s="78"/>
      <c r="AK38" s="77"/>
      <c r="AL38" s="77"/>
      <c r="AM38" s="77"/>
      <c r="AN38" s="77"/>
      <c r="AO38" s="77"/>
      <c r="AP38" s="356"/>
      <c r="AQ38" s="512" t="s">
        <v>410</v>
      </c>
      <c r="AR38" s="513"/>
      <c r="AS38" s="513"/>
      <c r="AT38" s="512" t="s">
        <v>411</v>
      </c>
      <c r="AU38" s="513"/>
      <c r="AV38" s="513"/>
      <c r="AW38" s="512" t="s">
        <v>412</v>
      </c>
      <c r="AX38" s="513"/>
      <c r="AY38" s="513"/>
      <c r="AZ38" s="512" t="s">
        <v>413</v>
      </c>
      <c r="BA38" s="513"/>
      <c r="BB38" s="513"/>
      <c r="BF38" s="166" t="s">
        <v>142</v>
      </c>
      <c r="BG38" s="67"/>
      <c r="BK38" s="434"/>
    </row>
    <row r="39" spans="2:63" s="319" customFormat="1" x14ac:dyDescent="0.25">
      <c r="B39" s="324" t="s">
        <v>437</v>
      </c>
      <c r="C39" s="369">
        <f t="shared" ref="C39:N39" si="12">IF($C$25=0,0,C34/$C$25)</f>
        <v>0.12857142857142856</v>
      </c>
      <c r="D39" s="368">
        <f t="shared" si="12"/>
        <v>0.51428571428571423</v>
      </c>
      <c r="E39" s="368">
        <f t="shared" si="12"/>
        <v>0.51428571428571423</v>
      </c>
      <c r="F39" s="369">
        <f t="shared" si="12"/>
        <v>0.14285714285714285</v>
      </c>
      <c r="G39" s="368">
        <f t="shared" si="12"/>
        <v>0.52857142857142858</v>
      </c>
      <c r="H39" s="368">
        <f t="shared" si="12"/>
        <v>0.52857142857142858</v>
      </c>
      <c r="I39" s="369">
        <f t="shared" si="12"/>
        <v>0</v>
      </c>
      <c r="J39" s="368">
        <f t="shared" si="12"/>
        <v>0.34285714285714286</v>
      </c>
      <c r="K39" s="368">
        <f t="shared" si="12"/>
        <v>0.34285714285714286</v>
      </c>
      <c r="L39" s="369">
        <f t="shared" si="12"/>
        <v>0</v>
      </c>
      <c r="M39" s="368">
        <f t="shared" si="12"/>
        <v>0.34285714285714286</v>
      </c>
      <c r="N39" s="368">
        <f t="shared" si="12"/>
        <v>0.34285714285714286</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414</v>
      </c>
      <c r="AR39" s="321" t="s">
        <v>415</v>
      </c>
      <c r="AS39" s="321" t="s">
        <v>416</v>
      </c>
      <c r="AT39" s="320" t="s">
        <v>414</v>
      </c>
      <c r="AU39" s="321" t="s">
        <v>415</v>
      </c>
      <c r="AV39" s="321" t="s">
        <v>416</v>
      </c>
      <c r="AW39" s="320" t="s">
        <v>414</v>
      </c>
      <c r="AX39" s="321" t="s">
        <v>415</v>
      </c>
      <c r="AY39" s="321" t="s">
        <v>416</v>
      </c>
      <c r="AZ39" s="320" t="s">
        <v>414</v>
      </c>
      <c r="BA39" s="321" t="s">
        <v>415</v>
      </c>
      <c r="BB39" s="321" t="s">
        <v>416</v>
      </c>
      <c r="BF39" s="166" t="s">
        <v>143</v>
      </c>
      <c r="BG39" s="156"/>
      <c r="BK39" s="434"/>
    </row>
    <row r="40" spans="2:63" x14ac:dyDescent="0.25">
      <c r="B40" s="256" t="s">
        <v>135</v>
      </c>
      <c r="C40" s="325">
        <f>IF(C41=0,0,ROUND(C5/C41,2))</f>
        <v>0.28999999999999998</v>
      </c>
      <c r="D40" s="326">
        <f>IF(D41=0,0,ROUND(D5/D41,2))</f>
        <v>0.93</v>
      </c>
      <c r="E40" s="354">
        <f>IF(E41=0,0,E9/E41)</f>
        <v>0.12875536480686695</v>
      </c>
      <c r="F40" s="325">
        <f>IF(F41=0,0,ROUND(F5/F41,2))</f>
        <v>0.32</v>
      </c>
      <c r="G40" s="326">
        <f>IF(G41=0,0,ROUND(G5/G41,2))</f>
        <v>1.02</v>
      </c>
      <c r="H40" s="354">
        <f>IF(H41=0,0,H9/H41)</f>
        <v>0.14979195561719832</v>
      </c>
      <c r="I40" s="325">
        <f>IF(I41=0,0,ROUND(I5/I41,2))</f>
        <v>0.63</v>
      </c>
      <c r="J40" s="326">
        <f>IF(J41=0,0,ROUND(J5/J41,2))</f>
        <v>0.74</v>
      </c>
      <c r="K40" s="354">
        <f>IF(K41=0,0,K9/K41)</f>
        <v>0.12356979405034325</v>
      </c>
      <c r="L40" s="325">
        <f>IF(L41=0,0,ROUND(L5/L41,2))</f>
        <v>0.81</v>
      </c>
      <c r="M40" s="326">
        <f>IF(M41=0,0,ROUND(M5/M41,2))</f>
        <v>0.97</v>
      </c>
      <c r="N40" s="354">
        <f>IF(N41=0,0,N9/N41)</f>
        <v>0.20594965675057209</v>
      </c>
      <c r="Q40" s="78">
        <f>C30</f>
        <v>9</v>
      </c>
      <c r="R40" s="78">
        <f>D30</f>
        <v>36.299999999999997</v>
      </c>
      <c r="S40" s="78">
        <f>F30</f>
        <v>10.199999999999999</v>
      </c>
      <c r="T40" s="78">
        <f>G30</f>
        <v>37.5</v>
      </c>
      <c r="U40" s="78">
        <f>I30</f>
        <v>0</v>
      </c>
      <c r="V40" s="78">
        <f>J30</f>
        <v>23.5</v>
      </c>
      <c r="W40" s="78">
        <f>L30</f>
        <v>0</v>
      </c>
      <c r="X40" s="78">
        <f>M30</f>
        <v>23.5</v>
      </c>
      <c r="Y40" s="164"/>
      <c r="AP40" s="357" t="s">
        <v>401</v>
      </c>
      <c r="AQ40" s="358"/>
      <c r="AR40" s="357">
        <f>IF($AP$40=$AQ$33,$AQ$34,0)+IF($AP40=$AR$33,$AR$34,0)+IF($AP40=$AS$33,$AS$34,0)</f>
        <v>36.299999999999997</v>
      </c>
      <c r="AS40" s="357">
        <f>IF($AP$40=$AQ$33,$AQ$34,0)+IF($AP40=$AR$33,$AR$34,0)+IF($AP40=$AS$33,$AS$34,0)</f>
        <v>36.299999999999997</v>
      </c>
      <c r="AT40" s="358"/>
      <c r="AU40" s="357">
        <f>IF($AP$40=$AQ$33,$AQ$34,0)+IF($AP40=$AR$33,$AR$34,0)+IF($AP40=$AS$33,$AS$34,0)</f>
        <v>36.299999999999997</v>
      </c>
      <c r="AV40" s="357">
        <f>IF($AP$40=$AQ$33,$AQ$34,0)+IF($AP40=$AR$33,$AR$34,0)+IF($AP40=$AS$33,$AS$34,0)</f>
        <v>36.299999999999997</v>
      </c>
      <c r="AW40" s="358"/>
      <c r="AX40" s="357"/>
      <c r="AY40" s="357"/>
      <c r="AZ40" s="358"/>
      <c r="BA40" s="357"/>
      <c r="BB40" s="357"/>
      <c r="BF40" s="166" t="s">
        <v>144</v>
      </c>
      <c r="BG40" s="157"/>
    </row>
    <row r="41" spans="2:63" x14ac:dyDescent="0.25">
      <c r="B41" s="324" t="s">
        <v>369</v>
      </c>
      <c r="C41" s="250">
        <f>IF($C$25=0,0,IF('Phase designation'!B19=0,SUMPRODUCT(C57:C60,D57:D60),(D41/MAX(1,D6))*C6))</f>
        <v>699</v>
      </c>
      <c r="D41" s="251">
        <f>IF($C$25=0,0,IF(AND(C6&gt;0,D6=0),ROUND(C6*C11*D38/$C$25,0),ROUND(D11*D38/$C$25,0)))</f>
        <v>2098</v>
      </c>
      <c r="E41" s="251">
        <f>IF($C$25=0,0,ROUND(E6*E11*E38/$C$25,0))</f>
        <v>699</v>
      </c>
      <c r="F41" s="250">
        <f>IF($C$25=0,0,IF('Phase designation'!D19=0,SUMPRODUCT(F57:F60,G57:G60),(G41/MAX(1,G6))*F6))</f>
        <v>787</v>
      </c>
      <c r="G41" s="251">
        <f>IF($C$25=0,0,IF(AND(F6&gt;0,G6=0),ROUND(F6*F11*G38/$C$25,0),ROUND(G11*G38/$C$25,0)))</f>
        <v>2164</v>
      </c>
      <c r="H41" s="251">
        <f>IF($C$25=0,0,ROUND(H6*H11*H38/$C$25,0))</f>
        <v>721</v>
      </c>
      <c r="I41" s="250">
        <f>IF($C$25=0,0,IF('Phase designation'!F19=0,SUMPRODUCT(I57:I60,J57:J60),(J41/MAX(1,J6))*I6))</f>
        <v>119</v>
      </c>
      <c r="J41" s="251">
        <f>IF($C$25=0,0,IF(AND(I6&gt;0,J6=0),ROUND(I6*I11*J38/$C$25,0),ROUND(J11*J38/$C$25,0)))</f>
        <v>874</v>
      </c>
      <c r="K41" s="251">
        <f>IF($C$25=0,0,ROUND(K6*K11*K38/$C$25,0))</f>
        <v>437</v>
      </c>
      <c r="L41" s="250">
        <f>IF($C$25=0,0,IF('Phase designation'!H19=0,SUMPRODUCT(L57:L60,M57:M60),(M41/MAX(1,M6))*L6))</f>
        <v>123</v>
      </c>
      <c r="M41" s="251">
        <f>IF($C$25=0,0,IF(AND(L6&gt;0,M6=0),ROUND(L6*L11*M38/$C$25,0),ROUND(M11*M38/$C$25,0)))</f>
        <v>874</v>
      </c>
      <c r="N41" s="251">
        <f>IF($C$25=0,0,ROUND(N6*N11*N38/$C$25,0))</f>
        <v>437</v>
      </c>
      <c r="Q41" s="62" t="s">
        <v>105</v>
      </c>
      <c r="R41" s="70">
        <f t="shared" ref="R41:U42" si="13">MATCH(R29,$Q$35:$X$35,0)</f>
        <v>3</v>
      </c>
      <c r="S41" s="70">
        <f t="shared" si="13"/>
        <v>2</v>
      </c>
      <c r="T41" s="70">
        <f t="shared" si="13"/>
        <v>5</v>
      </c>
      <c r="U41" s="70">
        <f t="shared" si="13"/>
        <v>8</v>
      </c>
      <c r="AP41" s="357" t="s">
        <v>402</v>
      </c>
      <c r="AQ41" s="358"/>
      <c r="AR41" s="357"/>
      <c r="AS41" s="357"/>
      <c r="AT41" s="358">
        <f>IF($AP$41=$AQ$33,$AQ$34,0)+IF($AP41=$AR$33,$AR$34,0)+IF($AP41=$AS$33,$AS$34,0)</f>
        <v>1.2</v>
      </c>
      <c r="AU41" s="357">
        <f>IF($AP$41=$AQ$33,$AQ$34,0)+IF($AP41=$AR$33,$AR$34,0)+IF($AP41=$AS$33,$AS$34,0)</f>
        <v>1.2</v>
      </c>
      <c r="AV41" s="357">
        <f>IF($AP$41=$AQ$33,$AQ$34,0)+IF($AP41=$AR$33,$AR$34,0)+IF($AP41=$AS$33,$AS$34,0)</f>
        <v>1.2</v>
      </c>
      <c r="AW41" s="358"/>
      <c r="AX41" s="357"/>
      <c r="AY41" s="357"/>
      <c r="AZ41" s="358"/>
      <c r="BA41" s="357"/>
      <c r="BB41" s="357"/>
      <c r="BF41" s="166" t="s">
        <v>145</v>
      </c>
      <c r="BG41" s="1"/>
    </row>
    <row r="42" spans="2:63" hidden="1" x14ac:dyDescent="0.25">
      <c r="B42" s="324" t="s">
        <v>136</v>
      </c>
      <c r="C42" s="250">
        <f t="shared" ref="C42:N42" si="14">IF(C40=0,0,ROUND((0.5*$C$25*(1-(C38)/$C$25)^2)/(1-(MIN(1,C40)*(C38))/$C$25),2))</f>
        <v>30.82</v>
      </c>
      <c r="D42" s="251">
        <f t="shared" si="14"/>
        <v>17.940000000000001</v>
      </c>
      <c r="E42" s="251">
        <f t="shared" si="14"/>
        <v>10.96</v>
      </c>
      <c r="F42" s="250">
        <f t="shared" si="14"/>
        <v>30.08</v>
      </c>
      <c r="G42" s="251">
        <f t="shared" si="14"/>
        <v>18.5</v>
      </c>
      <c r="H42" s="251">
        <f t="shared" si="14"/>
        <v>10.52</v>
      </c>
      <c r="I42" s="250">
        <f t="shared" si="14"/>
        <v>21.78</v>
      </c>
      <c r="J42" s="251">
        <f t="shared" si="14"/>
        <v>22.64</v>
      </c>
      <c r="K42" s="251">
        <f t="shared" si="14"/>
        <v>18.510000000000002</v>
      </c>
      <c r="L42" s="250">
        <f t="shared" si="14"/>
        <v>23.23</v>
      </c>
      <c r="M42" s="251">
        <f t="shared" si="14"/>
        <v>24.7</v>
      </c>
      <c r="N42" s="251">
        <f t="shared" si="14"/>
        <v>18.97</v>
      </c>
      <c r="O42" s="324"/>
      <c r="Q42" s="47" t="s">
        <v>106</v>
      </c>
      <c r="R42" s="70">
        <f t="shared" si="13"/>
        <v>1</v>
      </c>
      <c r="S42" s="70">
        <f t="shared" si="13"/>
        <v>4</v>
      </c>
      <c r="T42" s="70">
        <f t="shared" si="13"/>
        <v>5</v>
      </c>
      <c r="U42" s="70">
        <f t="shared" si="13"/>
        <v>6</v>
      </c>
      <c r="AP42" s="357" t="s">
        <v>403</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25">
      <c r="B43" s="324" t="s">
        <v>137</v>
      </c>
      <c r="C43" s="250">
        <f>IF(OR(C41=0,C11+C14=0),0,ROUND(225*((C40-1)+SQRT((C40-1)^2+(4*C40)/(C41*0.25))),2))</f>
        <v>1.05</v>
      </c>
      <c r="D43" s="251">
        <f>IF(OR(D41=0,D11=0),0,ROUND(225*((D40-1)+SQRT((D40-1)^2+(4*D40)/(D41*0.25))),2))</f>
        <v>8.89</v>
      </c>
      <c r="E43" s="251">
        <f>IF(OR(E41=0,E11=0),0,ROUND(225*((E40-1)+SQRT((E40-1)^2+(4*E40)/(E41*0.25))),2))</f>
        <v>0.38</v>
      </c>
      <c r="F43" s="250">
        <f>IF(OR(F41=0,F11+F14=0),0,ROUND(225*((F40-1)+SQRT((F40-1)^2+(4*F40)/(F41*0.25))),2))</f>
        <v>1.07</v>
      </c>
      <c r="G43" s="251">
        <f>IF(OR(G41=0,G11=0),0,ROUND(225*((G40-1)+SQRT((G40-1)^2+(4*G40)/(G41*0.25))),2))</f>
        <v>24.55</v>
      </c>
      <c r="H43" s="251">
        <f>IF(OR(H41=0,H11=0),0,ROUND(225*((H40-1)+SQRT((H40-1)^2+(4*H40)/(H41*0.25))),2))</f>
        <v>0.44</v>
      </c>
      <c r="I43" s="250">
        <f>IF(OR(I41=0,I11+I14=0),0,ROUND(225*((I40-1)+SQRT((I40-1)^2+(4*I40)/(I41*0.25))),2))</f>
        <v>22.67</v>
      </c>
      <c r="J43" s="251">
        <f>IF(OR(J41=0,J11=0),0,ROUND(225*((J40-1)+SQRT((J40-1)^2+(4*J40)/(J41*0.25))),2))</f>
        <v>5.59</v>
      </c>
      <c r="K43" s="251">
        <f>IF(OR(K41=0,K11=0),0,ROUND(225*((K40-1)+SQRT((K40-1)^2+(4*K40)/(K41*0.25))),2))</f>
        <v>0.57999999999999996</v>
      </c>
      <c r="L43" s="250">
        <f>IF(OR(L41=0,L11+L14=0),0,ROUND(225*((L40-1)+SQRT((L40-1)^2+(4*L40)/(L41*0.25))),2))</f>
        <v>41.88</v>
      </c>
      <c r="M43" s="251">
        <f>IF(OR(M41=0,M41=0),0,ROUND(225*((M40-1)+SQRT((M40-1)^2+(4*M40)/(M41*0.25))),2))</f>
        <v>23.98</v>
      </c>
      <c r="N43" s="251">
        <f>IF(OR(N41=0,N11=0),0,ROUND(225*((N40-1)+SQRT((N40-1)^2+(4*N40)/(N41*0.25))),2))</f>
        <v>1.07</v>
      </c>
      <c r="O43" s="324"/>
      <c r="R43" s="69"/>
      <c r="S43" s="69"/>
      <c r="T43" s="69"/>
      <c r="U43" s="69"/>
      <c r="Y43" s="534" t="s">
        <v>306</v>
      </c>
      <c r="Z43" s="534"/>
      <c r="AA43" s="534"/>
      <c r="AB43" s="534"/>
      <c r="AF43" s="78" t="s">
        <v>237</v>
      </c>
      <c r="AG43" s="78" t="s">
        <v>238</v>
      </c>
      <c r="AP43" s="357" t="s">
        <v>404</v>
      </c>
      <c r="AQ43" s="358">
        <f>IF($AP$43=$AQ$33,$AQ$34,0)+IF($AP43=$AR$33,$AR$34,0)+IF($AP43=$AS$33,$AS$34,0)</f>
        <v>9</v>
      </c>
      <c r="AR43" s="357"/>
      <c r="AS43" s="357"/>
      <c r="AT43" s="358">
        <f>IF($AP$43=$AQ$33,$AQ$34,0)+IF($AP43=$AR$33,$AR$34,0)+IF($AP43=$AS$33,$AS$34,0)</f>
        <v>9</v>
      </c>
      <c r="AU43" s="357"/>
      <c r="AV43" s="357"/>
      <c r="AW43" s="358"/>
      <c r="AX43" s="357"/>
      <c r="AY43" s="357"/>
      <c r="AZ43" s="358"/>
      <c r="BA43" s="357"/>
      <c r="BB43" s="357"/>
      <c r="BF43" s="77"/>
      <c r="BG43" s="62"/>
    </row>
    <row r="44" spans="2:63" x14ac:dyDescent="0.25">
      <c r="B44" s="256" t="s">
        <v>138</v>
      </c>
      <c r="C44" s="370">
        <f>IF(C3=0,0,C42+C43)</f>
        <v>31.87</v>
      </c>
      <c r="D44" s="371">
        <f>IF(OR(D3=0,D6=0),0,D42+D43)</f>
        <v>26.830000000000002</v>
      </c>
      <c r="E44" s="371">
        <f>IF(E3=0,0,E42+E43)</f>
        <v>11.340000000000002</v>
      </c>
      <c r="F44" s="370">
        <f>IF(F3=0,0,F42+F43)</f>
        <v>31.15</v>
      </c>
      <c r="G44" s="371">
        <f>IF(OR(G3=0,G6=0),0,G42+G43)</f>
        <v>43.05</v>
      </c>
      <c r="H44" s="371">
        <f>IF(H3=0,0,H42+H43)</f>
        <v>10.959999999999999</v>
      </c>
      <c r="I44" s="370">
        <f>IF(I3=0,0,I42+I43)</f>
        <v>44.45</v>
      </c>
      <c r="J44" s="371">
        <f>IF(OR(J3=0,J6=0),0,J42+J43)</f>
        <v>28.23</v>
      </c>
      <c r="K44" s="371">
        <f>IF(K3=0,0,K42+K43)</f>
        <v>19.09</v>
      </c>
      <c r="L44" s="370">
        <f>IF(L3=0,0,L42+L43)</f>
        <v>65.11</v>
      </c>
      <c r="M44" s="371">
        <f>IF(OR(M3=0,M6=0),0,M42+M43)</f>
        <v>48.68</v>
      </c>
      <c r="N44" s="371">
        <f>IF(N3=0,0,N42+N43)</f>
        <v>20.04</v>
      </c>
      <c r="Q44" s="62" t="s">
        <v>105</v>
      </c>
      <c r="R44" s="70">
        <f t="shared" ref="R44:U45" si="15">IF(R41&gt;0,MAX(Y44,INDEX($Q$35:$X$36,2,R41),0))</f>
        <v>10.199999999999999</v>
      </c>
      <c r="S44" s="70">
        <f t="shared" si="15"/>
        <v>36.299999999999997</v>
      </c>
      <c r="T44" s="70">
        <f t="shared" si="15"/>
        <v>0</v>
      </c>
      <c r="U44" s="70">
        <f t="shared" si="15"/>
        <v>23.5</v>
      </c>
      <c r="V44" s="71">
        <f>SUM(R44:U44)</f>
        <v>70</v>
      </c>
      <c r="X44" s="62" t="s">
        <v>105</v>
      </c>
      <c r="Y44" s="45">
        <f>Phasing!D43</f>
        <v>9</v>
      </c>
      <c r="Z44" s="45">
        <f>Phasing!E43</f>
        <v>14</v>
      </c>
      <c r="AA44" s="45">
        <f>Phasing!F43</f>
        <v>0</v>
      </c>
      <c r="AB44" s="45">
        <f>Phasing!G43</f>
        <v>16</v>
      </c>
      <c r="AC44" s="170" t="s">
        <v>237</v>
      </c>
      <c r="AD44" s="170" t="s">
        <v>238</v>
      </c>
      <c r="AE44" s="47"/>
      <c r="AF44" s="167">
        <f>Y44+Z44</f>
        <v>23</v>
      </c>
      <c r="AG44" s="167">
        <f>AA44+AB44</f>
        <v>16</v>
      </c>
      <c r="AH44" s="62" t="s">
        <v>105</v>
      </c>
      <c r="AI44" s="78">
        <f>IF(MIN(AF44,$AC$45)=0,0,ROUND(Y44*MAX(AF44,$AC$45)/MIN(AF44,$AC$45)*$C$25/$AE$45,0))</f>
        <v>16</v>
      </c>
      <c r="AJ44" s="78">
        <f>IF(MIN(AF44,$AC$45)=0,0,ROUND(Z44*MAX(AF44,$AC$45)/MIN(AF44,$AC$45)*$C$25/$AE$45,0))</f>
        <v>25</v>
      </c>
      <c r="AK44" s="78">
        <f>IF(MIN(AG44,$AD$45)=0,0,ROUND(AA44*MAX(AG44,$AD$45)/MIN(AG44,$AD$45)*$C$25/$AE$45,0))</f>
        <v>0</v>
      </c>
      <c r="AL44" s="78">
        <f>$C$25-SUM(AI44:AK44)</f>
        <v>29</v>
      </c>
      <c r="AM44" s="87"/>
      <c r="AN44" s="87"/>
      <c r="AO44" s="87"/>
      <c r="AP44" s="359" t="s">
        <v>405</v>
      </c>
      <c r="AQ44" s="360"/>
      <c r="AR44" s="359"/>
      <c r="AS44" s="359"/>
      <c r="AT44" s="360"/>
      <c r="AU44" s="359"/>
      <c r="AV44" s="359"/>
      <c r="AW44" s="360"/>
      <c r="AX44" s="359">
        <f>IF($AP$44=$AQ$35,$AQ$36,0)+IF($AP44=$AR$35,$AR$36,0)+IF($AP44=$AS$35,$AS$36,0)</f>
        <v>23.5</v>
      </c>
      <c r="AY44" s="359">
        <f>IF($AP$44=$AQ$35,$AQ$36,0)+IF($AP44=$AR$35,$AR$36,0)+IF($AP44=$AS$35,$AS$36,0)</f>
        <v>23.5</v>
      </c>
      <c r="AZ44" s="360"/>
      <c r="BA44" s="359">
        <f>IF($AP$44=$AQ$35,$AQ$36,0)+IF($AP44=$AR$35,$AR$36,0)+IF($AP44=$AS$35,$AS$36,0)</f>
        <v>23.5</v>
      </c>
      <c r="BB44" s="359">
        <f>IF($AP$44=$AQ$35,$AQ$36,0)+IF($AP44=$AR$35,$AR$36,0)+IF($AP44=$AS$35,$AS$36,0)</f>
        <v>23.5</v>
      </c>
      <c r="BF44" s="194" t="s">
        <v>146</v>
      </c>
      <c r="BG44" s="155"/>
    </row>
    <row r="45" spans="2:63" x14ac:dyDescent="0.25">
      <c r="B45" s="324" t="s">
        <v>139</v>
      </c>
      <c r="C45" s="249" t="str">
        <f>IF(C44=0,"N/A",VLOOKUP(C44,'LOS table'!$B$3:$D$8,3))</f>
        <v>C</v>
      </c>
      <c r="D45" s="45" t="str">
        <f>IF(D44=0,"N/A",VLOOKUP(D44,'LOS table'!$B$3:$D$8,3))</f>
        <v>C</v>
      </c>
      <c r="E45" s="45" t="str">
        <f>IF(E44=0,"N/A",VLOOKUP(E44,'LOS table'!$B$3:$D$8,3))</f>
        <v>B</v>
      </c>
      <c r="F45" s="249" t="str">
        <f>IF(F44=0,"N/A",VLOOKUP(F44,'LOS table'!$B$3:$D$8,3))</f>
        <v>C</v>
      </c>
      <c r="G45" s="45" t="str">
        <f>IF(G44=0,"N/A",VLOOKUP(G44,'LOS table'!$B$3:$D$8,3))</f>
        <v>D</v>
      </c>
      <c r="H45" s="45" t="str">
        <f>IF(H44=0,"N/A",VLOOKUP(H44,'LOS table'!$B$3:$D$8,3))</f>
        <v>B</v>
      </c>
      <c r="I45" s="249" t="str">
        <f>IF(I44=0,"N/A",VLOOKUP(I44,'LOS table'!$B$3:$D$8,3))</f>
        <v>D</v>
      </c>
      <c r="J45" s="45" t="str">
        <f>IF(J44=0,"N/A",VLOOKUP(J44,'LOS table'!$B$3:$D$8,3))</f>
        <v>C</v>
      </c>
      <c r="K45" s="45" t="str">
        <f>IF(K44=0,"N/A",VLOOKUP(K44,'LOS table'!$B$3:$D$8,3))</f>
        <v>B</v>
      </c>
      <c r="L45" s="249" t="str">
        <f>IF(L44=0,"N/A",VLOOKUP(L44,'LOS table'!$B$3:$D$8,3))</f>
        <v>E</v>
      </c>
      <c r="M45" s="45" t="str">
        <f>IF(M44=0,"N/A",VLOOKUP(M44,'LOS table'!$B$3:$D$8,3))</f>
        <v>D</v>
      </c>
      <c r="N45" s="45" t="str">
        <f>IF(N44=0,"N/A",VLOOKUP(N44,'LOS table'!$B$3:$D$8,3))</f>
        <v>B</v>
      </c>
      <c r="Q45" s="47" t="s">
        <v>106</v>
      </c>
      <c r="R45" s="211">
        <f t="shared" si="15"/>
        <v>9</v>
      </c>
      <c r="S45" s="70">
        <f t="shared" si="15"/>
        <v>37.5</v>
      </c>
      <c r="T45" s="70">
        <f t="shared" si="15"/>
        <v>0</v>
      </c>
      <c r="U45" s="70">
        <f t="shared" si="15"/>
        <v>23.5</v>
      </c>
      <c r="V45" s="71">
        <f>SUM(R45:U45)</f>
        <v>70</v>
      </c>
      <c r="X45" s="47" t="s">
        <v>106</v>
      </c>
      <c r="Y45" s="45">
        <f>Phasing!H43</f>
        <v>9</v>
      </c>
      <c r="Z45" s="45">
        <f>Phasing!I43</f>
        <v>14</v>
      </c>
      <c r="AA45" s="45">
        <f>Phasing!J43</f>
        <v>0</v>
      </c>
      <c r="AB45" s="45">
        <f>Phasing!K43</f>
        <v>16</v>
      </c>
      <c r="AC45" s="170">
        <f>MAX(Y44+Z44,Y45+Z45)</f>
        <v>23</v>
      </c>
      <c r="AD45" s="170">
        <f>MAX(AA44+AB44,AA45+AB45)</f>
        <v>16</v>
      </c>
      <c r="AE45" s="219">
        <f>SUM(AC45:AD45)</f>
        <v>39</v>
      </c>
      <c r="AF45" s="167">
        <f>Y45+Z45</f>
        <v>23</v>
      </c>
      <c r="AG45" s="167">
        <f>AA45+AB45</f>
        <v>16</v>
      </c>
      <c r="AH45" s="47" t="s">
        <v>106</v>
      </c>
      <c r="AI45" s="78">
        <f>IF(MIN(AF45,$AC$45)=0,0,ROUND(Y45*MAX(AF45,$AC$45)/MIN(AF45,$AC$45)*$C$25/$AE$45,0))</f>
        <v>16</v>
      </c>
      <c r="AJ45" s="78">
        <f>IF(MIN(AF45,$AC$45)=0,0,ROUND(Z45*MAX(AF45,$AC$45)/MIN(AF45,$AC$45)*$C$25/$AE$45,0))</f>
        <v>25</v>
      </c>
      <c r="AK45" s="78">
        <f>IF(MIN(AG45,$AD$45)=0,0,ROUND(AA45*MAX(AG45,$AD$45)/MIN(AG45,$AD$45)*$C$25/$AE$45,0))</f>
        <v>0</v>
      </c>
      <c r="AL45" s="78">
        <f>$C$25-SUM(AI45:AK45)</f>
        <v>29</v>
      </c>
      <c r="AM45" s="87"/>
      <c r="AN45" s="87"/>
      <c r="AO45" s="87"/>
      <c r="AP45" s="359" t="s">
        <v>406</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25">
      <c r="B46" s="256" t="s">
        <v>423</v>
      </c>
      <c r="C46" s="472">
        <f>IF(SUM(C3:E3)=0,0,SUMPRODUCT(C3:E3,C44:E44)/SUM(C3:E3))</f>
        <v>26.589555555555556</v>
      </c>
      <c r="D46" s="473"/>
      <c r="E46" s="478"/>
      <c r="F46" s="472">
        <f>IF(SUM(F3:H3)=0,0,SUMPRODUCT(F3:H3,F44:H44)/SUM(F3:H3))</f>
        <v>40.394046692607006</v>
      </c>
      <c r="G46" s="473"/>
      <c r="H46" s="478"/>
      <c r="I46" s="472">
        <f>IF(SUM(I3:K3)=0,0,SUMPRODUCT(I3:K3,I44:K44)/SUM(I3:K3))</f>
        <v>29.081082802547773</v>
      </c>
      <c r="J46" s="473"/>
      <c r="K46" s="478"/>
      <c r="L46" s="472">
        <f>IF(SUM(L3:N3)=0,0,SUMPRODUCT(L3:N3,L44:N44)/SUM(L3:N3))</f>
        <v>47.517142857142858</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407</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25">
      <c r="B47" s="324" t="s">
        <v>424</v>
      </c>
      <c r="C47" s="474" t="str">
        <f>IF(C46=0,"N/A",VLOOKUP(C46,'LOS table'!$B$3:$D$8,3))</f>
        <v>C</v>
      </c>
      <c r="D47" s="475"/>
      <c r="E47" s="51"/>
      <c r="F47" s="474" t="str">
        <f>IF(F46=0,"N/A",VLOOKUP(F46,'LOS table'!$B$3:$D$8,3))</f>
        <v>D</v>
      </c>
      <c r="G47" s="475"/>
      <c r="H47" s="51"/>
      <c r="I47" s="474" t="str">
        <f>IF(I46=0,"N/A",VLOOKUP(I46,'LOS table'!$B$3:$D$8,3))</f>
        <v>C</v>
      </c>
      <c r="J47" s="475"/>
      <c r="K47" s="51"/>
      <c r="L47" s="474" t="str">
        <f>IF(L46=0,"N/A",VLOOKUP(L46,'LOS table'!$B$3:$D$8,3))</f>
        <v>D</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408</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25">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9</v>
      </c>
      <c r="AR48" s="363">
        <f t="shared" ref="AR48:BB48" si="16">SUM(AR40:AR47)</f>
        <v>36.299999999999997</v>
      </c>
      <c r="AS48" s="363">
        <f t="shared" si="16"/>
        <v>36.299999999999997</v>
      </c>
      <c r="AT48" s="362">
        <f t="shared" si="16"/>
        <v>10.199999999999999</v>
      </c>
      <c r="AU48" s="363">
        <f t="shared" si="16"/>
        <v>37.5</v>
      </c>
      <c r="AV48" s="363">
        <f t="shared" si="16"/>
        <v>37.5</v>
      </c>
      <c r="AW48" s="362">
        <f t="shared" si="16"/>
        <v>0</v>
      </c>
      <c r="AX48" s="363">
        <f t="shared" si="16"/>
        <v>23.5</v>
      </c>
      <c r="AY48" s="363">
        <f t="shared" si="16"/>
        <v>23.5</v>
      </c>
      <c r="AZ48" s="362">
        <f t="shared" si="16"/>
        <v>0</v>
      </c>
      <c r="BA48" s="363">
        <f t="shared" si="16"/>
        <v>23.5</v>
      </c>
      <c r="BB48" s="363">
        <f t="shared" si="16"/>
        <v>23.5</v>
      </c>
      <c r="BK48" s="434"/>
    </row>
    <row r="49" spans="2:63" s="319" customFormat="1" x14ac:dyDescent="0.25">
      <c r="B49" s="365" t="s">
        <v>425</v>
      </c>
      <c r="C49" s="476">
        <f>IF($C$25=0,"CHECK INPUT DATA!",IF(OR(SUM(C9:H9)=0,SUM(I9:N9)=0),0,ROUND(SUMPRODUCT(C9:N9,C44:N44)/O9,2)))</f>
        <v>35.64</v>
      </c>
      <c r="D49" s="476"/>
      <c r="E49" s="355"/>
      <c r="G49" s="87"/>
      <c r="H49" s="87"/>
      <c r="M49" s="87"/>
      <c r="N49" s="87"/>
      <c r="O49" s="323"/>
      <c r="P49" s="324"/>
      <c r="Q49" s="47"/>
      <c r="R49" s="345">
        <v>0</v>
      </c>
      <c r="S49" s="345">
        <v>0.85</v>
      </c>
      <c r="T49" s="345" t="s">
        <v>433</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25">
      <c r="B50" s="161" t="s">
        <v>426</v>
      </c>
      <c r="C50" s="471" t="str">
        <f>IF($C$25=0,"CHECK INPUT DATA",IF(C49=0,"N/A",VLOOKUP(C49,'LOS table'!$B$3:$D$8,3)))</f>
        <v>D</v>
      </c>
      <c r="D50" s="471"/>
      <c r="E50" s="87"/>
      <c r="F50" s="87"/>
      <c r="G50" s="87"/>
      <c r="H50" s="87"/>
      <c r="I50" s="87"/>
      <c r="J50" s="87"/>
      <c r="K50" s="87"/>
      <c r="L50" s="87"/>
      <c r="M50" s="87"/>
      <c r="N50" s="87"/>
      <c r="O50" s="323"/>
      <c r="P50" s="324"/>
      <c r="Q50" s="47"/>
      <c r="R50" s="345">
        <v>0.85</v>
      </c>
      <c r="S50" s="345">
        <v>0.95</v>
      </c>
      <c r="T50" s="345" t="s">
        <v>434</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25">
      <c r="B51" s="365" t="s">
        <v>427</v>
      </c>
      <c r="C51" s="477">
        <f>IF($C$25=0,"CHECK INPUT DATA",ROUND(O17/(1700*O4*'Input sheet'!W7*(1-C23/C25)),2))</f>
        <v>0.9</v>
      </c>
      <c r="D51" s="477"/>
      <c r="E51" s="87"/>
      <c r="F51" s="87"/>
      <c r="G51" s="87"/>
      <c r="H51" s="87"/>
      <c r="I51" s="87"/>
      <c r="J51" s="87"/>
      <c r="K51" s="87"/>
      <c r="L51" s="87"/>
      <c r="M51" s="87"/>
      <c r="N51" s="87"/>
      <c r="O51" s="323"/>
      <c r="P51" s="324"/>
      <c r="Q51" s="47"/>
      <c r="R51" s="345">
        <v>0.95</v>
      </c>
      <c r="S51" s="345">
        <v>1</v>
      </c>
      <c r="T51" s="345" t="s">
        <v>435</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25">
      <c r="B52" s="161" t="s">
        <v>432</v>
      </c>
      <c r="C52" s="471" t="str">
        <f>IF($C$25=0,"CHECK INPUT DATA",VLOOKUP(C51,R49:T52,3))</f>
        <v>Near Capacity</v>
      </c>
      <c r="D52" s="471"/>
      <c r="E52" s="87"/>
      <c r="F52" s="87"/>
      <c r="G52" s="87"/>
      <c r="H52" s="87"/>
      <c r="I52" s="87"/>
      <c r="J52" s="87"/>
      <c r="K52" s="87"/>
      <c r="L52" s="87"/>
      <c r="M52" s="87"/>
      <c r="N52" s="87"/>
      <c r="O52" s="323"/>
      <c r="P52" s="324"/>
      <c r="Q52" s="47"/>
      <c r="R52" s="345">
        <v>1</v>
      </c>
      <c r="S52" s="345">
        <v>100</v>
      </c>
      <c r="T52" s="345" t="s">
        <v>436</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hidden="1" x14ac:dyDescent="0.25">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25">
      <c r="B54" s="246" t="s">
        <v>367</v>
      </c>
      <c r="C54" s="3">
        <f>ROUND(SUMPRODUCT(C66:C68,D66:D68),0)</f>
        <v>3060</v>
      </c>
      <c r="D54" s="85">
        <f>IF($C$25=0,0,IF(D41=0,0,D11))</f>
        <v>4590</v>
      </c>
      <c r="E54" s="246">
        <f>IF($C$25=0,0,IF(AND(E6=0,E3&gt;0),ROUND(0.25*D54,0),E11))</f>
        <v>1530</v>
      </c>
      <c r="F54" s="373">
        <f>ROUND(SUMPRODUCT(F66:F68,G66:G68),0)</f>
        <v>3060</v>
      </c>
      <c r="G54" s="246">
        <f>IF($C$25=0,0,IF(G41=0,0,G11))</f>
        <v>4590</v>
      </c>
      <c r="H54" s="246">
        <f>IF($C$25=0,0,IF(AND(H6=0,H3&gt;0),ROUND(0.25*G54,0),H11))</f>
        <v>1530</v>
      </c>
      <c r="I54" s="373">
        <f>ROUND(SUMPRODUCT(I66:I68,J66:J68),0)</f>
        <v>555</v>
      </c>
      <c r="J54" s="246">
        <f>IF($C$25=0,0,IF(J41=0,0,J11))</f>
        <v>3060</v>
      </c>
      <c r="K54" s="246">
        <f>IF($C$25=0,0,IF(AND(K6=0,K3&gt;0),ROUND(0.25*J54,0),K11))</f>
        <v>1530</v>
      </c>
      <c r="L54" s="373">
        <f>ROUND(SUMPRODUCT(L66:L68,M66:M68),0)</f>
        <v>695</v>
      </c>
      <c r="M54" s="246">
        <f>IF($C$25=0,0,IF(M41=0,0,M11))</f>
        <v>3060</v>
      </c>
      <c r="N54" s="246">
        <f>IF($C$25=0,0,IF(AND(N6=0,N3&gt;0),ROUND(0.25*M54,0),N11))</f>
        <v>1530</v>
      </c>
      <c r="Y54" s="78"/>
      <c r="Z54" s="78"/>
      <c r="AA54" s="78"/>
      <c r="AB54" s="78"/>
      <c r="AC54" s="78"/>
      <c r="AD54" s="78"/>
    </row>
    <row r="55" spans="2:63" hidden="1" x14ac:dyDescent="0.25">
      <c r="B55" s="246" t="s">
        <v>368</v>
      </c>
      <c r="C55" s="3">
        <f t="shared" ref="C55:N55" si="17">IF($C$25=0,0,C38/$C$25)</f>
        <v>7.1428571428571425E-2</v>
      </c>
      <c r="D55" s="246">
        <f t="shared" si="17"/>
        <v>0.45714285714285713</v>
      </c>
      <c r="E55" s="246">
        <f t="shared" si="17"/>
        <v>0.45714285714285713</v>
      </c>
      <c r="F55" s="246">
        <f t="shared" si="17"/>
        <v>8.5714285714285715E-2</v>
      </c>
      <c r="G55" s="246">
        <f t="shared" si="17"/>
        <v>0.47142857142857142</v>
      </c>
      <c r="H55" s="246">
        <f t="shared" si="17"/>
        <v>0.47142857142857142</v>
      </c>
      <c r="I55" s="246">
        <f t="shared" si="17"/>
        <v>0.2857142857142857</v>
      </c>
      <c r="J55" s="246">
        <f t="shared" si="17"/>
        <v>0.2857142857142857</v>
      </c>
      <c r="K55" s="246">
        <f t="shared" si="17"/>
        <v>0.2857142857142857</v>
      </c>
      <c r="L55" s="246">
        <f t="shared" si="17"/>
        <v>0.2857142857142857</v>
      </c>
      <c r="M55" s="246">
        <f t="shared" si="17"/>
        <v>0.2857142857142857</v>
      </c>
      <c r="N55" s="246">
        <f t="shared" si="17"/>
        <v>0.2857142857142857</v>
      </c>
      <c r="Q55" s="62" t="s">
        <v>105</v>
      </c>
      <c r="R55" s="70">
        <f>IF(V44=0,0,ROUND(R44*$C$25/$V$44,0))</f>
        <v>10</v>
      </c>
      <c r="S55" s="70">
        <f>IF(V44=0,0,ROUND(S44*$C$25/$V$44,0))</f>
        <v>36</v>
      </c>
      <c r="T55" s="70">
        <f>IF(V44=0,0,ROUND(T44*$C$25/$V$44,0))</f>
        <v>0</v>
      </c>
      <c r="U55" s="70">
        <f>IF(V44=0,0,ROUND(U44*$C$25/$V$44,0))</f>
        <v>24</v>
      </c>
      <c r="W55" s="71">
        <f>SUM(R55:S55)</f>
        <v>46</v>
      </c>
      <c r="X55" s="71">
        <f>SUM(T55:U55)</f>
        <v>24</v>
      </c>
      <c r="Y55" s="47"/>
      <c r="Z55" s="62" t="s">
        <v>105</v>
      </c>
      <c r="AA55" s="193">
        <f>IF(W55=0,0,R31*MAX(Y44,ROUNDDOWN($W$58/W55*R55,0)))</f>
        <v>10</v>
      </c>
      <c r="AB55" s="193">
        <f>IF(W55=0,0,S31*MAX(Z44,ROUNDUP($W$58/W55*S55,0)))</f>
        <v>36</v>
      </c>
      <c r="AC55" s="193">
        <f>IF(X55=0,0,T31*MAX(AA44,ROUNDDOWN($X$58/X55*T55,0)))</f>
        <v>0</v>
      </c>
      <c r="AD55" s="193">
        <f>IF(X55=0,0,U31*MAX(AB44,ROUNDUP($X$58/X55*U55,0)))</f>
        <v>24</v>
      </c>
      <c r="AE55" s="47"/>
      <c r="AF55" s="62" t="s">
        <v>105</v>
      </c>
      <c r="AG55" s="193">
        <f>IF(AND(AB55=Z44,AA55+AB55&gt;W58),W58-AB57,AA57)</f>
        <v>10</v>
      </c>
      <c r="AH55" s="193">
        <f>IF(AND(AA55=Y44,AA55+AB55&gt;W58),W58-AA57,AB57)</f>
        <v>36</v>
      </c>
      <c r="AI55" s="193">
        <f>IF(AND(AD55=AB44,AC55+AD55&gt;X58),X58-AD57,AC57)</f>
        <v>0</v>
      </c>
      <c r="AJ55" s="193">
        <f>IF(AND(AC55=AA44,AC55+AD55&gt;X58),X58-AC57,AD57)</f>
        <v>24</v>
      </c>
      <c r="AK55" s="196"/>
      <c r="AM55" s="62"/>
      <c r="AN55" s="87"/>
      <c r="AO55" s="87"/>
      <c r="AP55" s="87"/>
      <c r="AQ55" s="87"/>
      <c r="AT55" s="62"/>
      <c r="AU55" s="87"/>
      <c r="AV55" s="87"/>
      <c r="AW55" s="87"/>
      <c r="AX55" s="87"/>
      <c r="AY55" s="77"/>
    </row>
    <row r="56" spans="2:63" hidden="1" x14ac:dyDescent="0.25">
      <c r="C56" s="499" t="s">
        <v>13</v>
      </c>
      <c r="D56" s="499"/>
      <c r="F56" s="499" t="s">
        <v>18</v>
      </c>
      <c r="G56" s="499"/>
      <c r="I56" s="499" t="s">
        <v>3</v>
      </c>
      <c r="J56" s="499"/>
      <c r="L56" s="499" t="s">
        <v>8</v>
      </c>
      <c r="M56" s="499"/>
      <c r="Q56" s="47" t="s">
        <v>106</v>
      </c>
      <c r="R56" s="70">
        <f>IF(V45=0,0,ROUND(R45*$C$25/$V$45,0))</f>
        <v>9</v>
      </c>
      <c r="S56" s="70">
        <f>IF(V45=0,0,ROUND(S45*$C$25/$V$45,0))</f>
        <v>38</v>
      </c>
      <c r="T56" s="70">
        <f>IF(V45=0,0,ROUND(T45*$C$25/$V$45,0))</f>
        <v>0</v>
      </c>
      <c r="U56" s="70">
        <f>IF(V45=0,0,ROUND(U45*$C$25/$V$45,0))</f>
        <v>24</v>
      </c>
      <c r="W56" s="71">
        <f>SUM(R56:S56)</f>
        <v>47</v>
      </c>
      <c r="X56" s="71">
        <f>SUM(T56:U56)</f>
        <v>24</v>
      </c>
      <c r="Y56" s="214"/>
      <c r="Z56" s="47" t="s">
        <v>106</v>
      </c>
      <c r="AA56" s="193">
        <f>IF(W56=0,0,R32*MAX(Y45,ROUNDDOWN($W$58/W56*R56,0)))</f>
        <v>9</v>
      </c>
      <c r="AB56" s="193">
        <f>IF(W56=0,0,S32*MAX(Z45,ROUNDUP($W$58/W56*S56,0)))</f>
        <v>38</v>
      </c>
      <c r="AC56" s="193">
        <f>IF(X56=0,0,T32*MAX(AA45,ROUNDDOWN($X$58/X56*T56,0)))</f>
        <v>0</v>
      </c>
      <c r="AD56" s="193">
        <f>IF(X56=0,0,U32*MAX(AB45,ROUNDUP($X$58/X56*U56,0)))</f>
        <v>24</v>
      </c>
      <c r="AE56" s="47"/>
      <c r="AF56" s="47" t="s">
        <v>106</v>
      </c>
      <c r="AG56" s="193">
        <f>IF(AND(AB56=Z45,AA56+AB56&gt;W58),W58-AB56,AA58)</f>
        <v>9</v>
      </c>
      <c r="AH56" s="193">
        <f>IF(AND(AA56=Y45,AA56+AB56&gt;W58),W58-AA58,AB58)</f>
        <v>37</v>
      </c>
      <c r="AI56" s="193">
        <f>IF(AND(AD56=AB45,AC56+AD56&gt;X58),X58-AD58,AC58)</f>
        <v>0</v>
      </c>
      <c r="AJ56" s="193">
        <f>IF(AND(AC56=AA45,AC56+AD56&gt;X58),X58-AC58,AD58)</f>
        <v>24</v>
      </c>
      <c r="AK56" s="196"/>
      <c r="AM56" s="47"/>
      <c r="AN56" s="87"/>
      <c r="AO56" s="87"/>
      <c r="AP56" s="87"/>
      <c r="AQ56" s="87"/>
      <c r="AT56" s="47"/>
      <c r="AU56" s="87"/>
      <c r="AV56" s="87"/>
      <c r="AW56" s="87"/>
      <c r="AX56" s="87"/>
      <c r="AY56" s="77"/>
    </row>
    <row r="57" spans="2:63" hidden="1" x14ac:dyDescent="0.25">
      <c r="B57" s="164" t="s">
        <v>224</v>
      </c>
      <c r="C57" s="164">
        <f>C97</f>
        <v>206</v>
      </c>
      <c r="D57" s="163">
        <f>IF('Phase designation'!B22=2,1,0)</f>
        <v>0</v>
      </c>
      <c r="F57" s="246">
        <f>F97</f>
        <v>206</v>
      </c>
      <c r="G57" s="164">
        <f>IF('Phase designation'!D22=2,1,0)</f>
        <v>0</v>
      </c>
      <c r="I57" s="246">
        <f>I97</f>
        <v>119</v>
      </c>
      <c r="J57" s="164">
        <f>IF('Phase designation'!F22=2,1,0)</f>
        <v>1</v>
      </c>
      <c r="L57" s="246">
        <f>L97</f>
        <v>123</v>
      </c>
      <c r="M57" s="164">
        <f>IF('Phase designation'!H22=2,1,0)</f>
        <v>1</v>
      </c>
      <c r="W57" s="65">
        <f>MAX(AC45,MAX(W55:W56))</f>
        <v>47</v>
      </c>
      <c r="X57" s="65">
        <f>MAX(AD45,MAX(X55:X56))</f>
        <v>24</v>
      </c>
      <c r="Y57" s="214"/>
      <c r="Z57" s="62" t="s">
        <v>105</v>
      </c>
      <c r="AA57" s="193">
        <f>AA55</f>
        <v>10</v>
      </c>
      <c r="AB57" s="193">
        <f t="shared" ref="AB57:AD58" si="18">AB55</f>
        <v>36</v>
      </c>
      <c r="AC57" s="193">
        <f t="shared" si="18"/>
        <v>0</v>
      </c>
      <c r="AD57" s="193">
        <f t="shared" si="18"/>
        <v>24</v>
      </c>
    </row>
    <row r="58" spans="2:63" hidden="1" x14ac:dyDescent="0.25">
      <c r="B58" s="164" t="s">
        <v>225</v>
      </c>
      <c r="C58" s="3">
        <f>C96</f>
        <v>699</v>
      </c>
      <c r="D58" s="164">
        <f>IF('Phase designation'!B22=1,1,0)</f>
        <v>1</v>
      </c>
      <c r="F58" s="246">
        <f>F96</f>
        <v>787</v>
      </c>
      <c r="G58" s="164">
        <f>IF('Phase designation'!D22=1,1,0)</f>
        <v>1</v>
      </c>
      <c r="I58" s="246">
        <f>I96</f>
        <v>0</v>
      </c>
      <c r="J58" s="164">
        <f>IF('Phase designation'!F22=1,1,0)</f>
        <v>0</v>
      </c>
      <c r="L58" s="246">
        <f>L96</f>
        <v>0</v>
      </c>
      <c r="M58" s="164">
        <f>IF('Phase designation'!H22=1,1,0)</f>
        <v>0</v>
      </c>
      <c r="W58" s="76">
        <f>C25-MIN(W57:X57)</f>
        <v>46</v>
      </c>
      <c r="X58" s="76">
        <f>C25-W58</f>
        <v>24</v>
      </c>
      <c r="Y58" s="47"/>
      <c r="Z58" s="47" t="s">
        <v>106</v>
      </c>
      <c r="AA58" s="193">
        <f>AA56</f>
        <v>9</v>
      </c>
      <c r="AB58" s="193">
        <f t="shared" si="18"/>
        <v>38</v>
      </c>
      <c r="AC58" s="193">
        <f t="shared" si="18"/>
        <v>0</v>
      </c>
      <c r="AD58" s="193">
        <f t="shared" si="18"/>
        <v>24</v>
      </c>
      <c r="AE58" s="197" t="s">
        <v>223</v>
      </c>
    </row>
    <row r="59" spans="2:63" s="77" customFormat="1" hidden="1" x14ac:dyDescent="0.25">
      <c r="B59" s="77" t="s">
        <v>226</v>
      </c>
      <c r="C59" s="77">
        <f>C104</f>
        <v>905</v>
      </c>
      <c r="D59" s="77">
        <f>IF('Phase designation'!B22=3,1,0)</f>
        <v>0</v>
      </c>
      <c r="F59" s="291">
        <f>F104</f>
        <v>993</v>
      </c>
      <c r="G59" s="77">
        <f>IF('Phase designation'!D22=3,1,0)</f>
        <v>0</v>
      </c>
      <c r="I59" s="291">
        <f>I104</f>
        <v>119</v>
      </c>
      <c r="J59" s="77">
        <f>IF('Phase designation'!F22=3,1,0)</f>
        <v>0</v>
      </c>
      <c r="L59" s="291">
        <f>L104</f>
        <v>123</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25">
      <c r="B60" s="246" t="s">
        <v>366</v>
      </c>
      <c r="C60" s="3">
        <f>C103</f>
        <v>56</v>
      </c>
      <c r="D60" s="77">
        <f>IF(AND(C6=0,C3&gt;0),1,0)</f>
        <v>0</v>
      </c>
      <c r="F60" s="246">
        <f>F103</f>
        <v>56</v>
      </c>
      <c r="G60" s="291">
        <f>IF(AND(F6=0,F3&gt;0),1,0)</f>
        <v>0</v>
      </c>
      <c r="I60" s="246">
        <f>I103</f>
        <v>201</v>
      </c>
      <c r="J60" s="291">
        <f>IF(AND(I6=0,I3&gt;0),1,0)</f>
        <v>0</v>
      </c>
      <c r="L60" s="246">
        <f>L103</f>
        <v>238</v>
      </c>
      <c r="M60" s="291">
        <f>IF(AND(L6=0,L3&gt;0),1,0)</f>
        <v>0</v>
      </c>
      <c r="P60" s="291"/>
      <c r="Q60" s="177" t="s">
        <v>105</v>
      </c>
      <c r="R60" s="169">
        <f t="shared" ref="R60:U61" si="19">AG55</f>
        <v>10</v>
      </c>
      <c r="S60" s="169">
        <f t="shared" si="19"/>
        <v>36</v>
      </c>
      <c r="T60" s="169">
        <f t="shared" si="19"/>
        <v>0</v>
      </c>
      <c r="U60" s="169">
        <f t="shared" si="19"/>
        <v>24</v>
      </c>
      <c r="V60" s="167">
        <f>SUM(R60:U60)</f>
        <v>70</v>
      </c>
      <c r="W60" s="170">
        <f>R60+S60</f>
        <v>46</v>
      </c>
      <c r="X60" s="178">
        <f>T60+U60</f>
        <v>24</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75" hidden="1" thickBot="1" x14ac:dyDescent="0.3">
      <c r="P61" s="291"/>
      <c r="Q61" s="179" t="s">
        <v>106</v>
      </c>
      <c r="R61" s="180">
        <f t="shared" si="19"/>
        <v>9</v>
      </c>
      <c r="S61" s="180">
        <f t="shared" si="19"/>
        <v>37</v>
      </c>
      <c r="T61" s="180">
        <f t="shared" si="19"/>
        <v>0</v>
      </c>
      <c r="U61" s="180">
        <f t="shared" si="19"/>
        <v>24</v>
      </c>
      <c r="V61" s="181">
        <f>SUM(R61:U61)</f>
        <v>70</v>
      </c>
      <c r="W61" s="182">
        <f>R61+S61</f>
        <v>46</v>
      </c>
      <c r="X61" s="183">
        <f>T61+U61</f>
        <v>24</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25">
      <c r="B62" s="240" t="s">
        <v>335</v>
      </c>
      <c r="C62" s="77">
        <f>MAX(0,D37)</f>
        <v>32.1</v>
      </c>
      <c r="D62" s="77">
        <f>D57</f>
        <v>0</v>
      </c>
      <c r="E62" s="77"/>
      <c r="F62" s="291">
        <f>MAX(0,G37)</f>
        <v>33.1</v>
      </c>
      <c r="G62" s="77">
        <f>G57</f>
        <v>0</v>
      </c>
      <c r="H62" s="77"/>
      <c r="I62" s="291">
        <f>MAX(0,J37)</f>
        <v>18.3</v>
      </c>
      <c r="J62" s="77">
        <f>J57</f>
        <v>1</v>
      </c>
      <c r="K62" s="77"/>
      <c r="L62" s="291">
        <f>MAX(0,M37)</f>
        <v>18.3</v>
      </c>
      <c r="M62" s="77">
        <f>M57</f>
        <v>1</v>
      </c>
      <c r="N62" s="77"/>
      <c r="X62" s="77"/>
      <c r="Z62" s="197"/>
      <c r="AA62" s="197"/>
      <c r="AB62" s="197"/>
      <c r="AC62" s="197"/>
      <c r="AD62" s="197"/>
      <c r="AE62" s="199"/>
      <c r="AF62" s="199"/>
      <c r="AG62" s="199"/>
      <c r="AH62" s="199"/>
      <c r="AI62" s="199"/>
    </row>
    <row r="63" spans="2:63" hidden="1" x14ac:dyDescent="0.25">
      <c r="B63" s="240" t="s">
        <v>336</v>
      </c>
      <c r="C63" s="240">
        <f>MAX(0,C34-C35-C36)</f>
        <v>5.0999999999999996</v>
      </c>
      <c r="D63" s="77">
        <f>D58</f>
        <v>1</v>
      </c>
      <c r="E63" s="77"/>
      <c r="F63" s="246">
        <f>MAX(0,F34-F35-F36)</f>
        <v>6.1</v>
      </c>
      <c r="G63" s="77">
        <f>G58</f>
        <v>1</v>
      </c>
      <c r="H63" s="77"/>
      <c r="I63" s="246">
        <f>MAX(0,I34-I35-I36)</f>
        <v>0</v>
      </c>
      <c r="J63" s="77">
        <f>J58</f>
        <v>0</v>
      </c>
      <c r="K63" s="77"/>
      <c r="L63" s="246">
        <f>MAX(0,L34-L35-L36)</f>
        <v>0</v>
      </c>
      <c r="M63" s="77">
        <f>M58</f>
        <v>0</v>
      </c>
      <c r="N63" s="77"/>
      <c r="Q63" s="3">
        <f>R29</f>
        <v>1</v>
      </c>
      <c r="R63" s="69">
        <f>S29</f>
        <v>2</v>
      </c>
      <c r="S63" s="69">
        <f>T29</f>
        <v>0</v>
      </c>
      <c r="T63" s="69">
        <f>U29</f>
        <v>4</v>
      </c>
      <c r="U63" s="69">
        <f>R30</f>
        <v>5</v>
      </c>
      <c r="V63" s="69">
        <f>S30</f>
        <v>6</v>
      </c>
      <c r="W63" s="69">
        <f>T30</f>
        <v>0</v>
      </c>
      <c r="X63" s="69">
        <f>U30</f>
        <v>8</v>
      </c>
    </row>
    <row r="64" spans="2:63" hidden="1" x14ac:dyDescent="0.25">
      <c r="B64" s="77" t="s">
        <v>337</v>
      </c>
      <c r="C64" s="3">
        <f>MAX(0,C63+C62-C35-C36)</f>
        <v>33.300000000000004</v>
      </c>
      <c r="D64" s="77">
        <f>D59</f>
        <v>0</v>
      </c>
      <c r="E64" s="77"/>
      <c r="F64" s="246">
        <f>MAX(0,F63+F62-F35-F36)</f>
        <v>35.300000000000004</v>
      </c>
      <c r="G64" s="77">
        <f>G59</f>
        <v>0</v>
      </c>
      <c r="H64" s="77"/>
      <c r="I64" s="246">
        <f>MAX(0,I63+I62-I35-I36)</f>
        <v>12.600000000000001</v>
      </c>
      <c r="J64" s="77">
        <f>J59</f>
        <v>0</v>
      </c>
      <c r="K64" s="77"/>
      <c r="L64" s="246">
        <f>MAX(0,L63+L62-L35-L36)</f>
        <v>12.600000000000001</v>
      </c>
      <c r="M64" s="77">
        <f>M59</f>
        <v>0</v>
      </c>
      <c r="Q64" s="3">
        <f>C83</f>
        <v>10</v>
      </c>
      <c r="R64" s="216">
        <f>D83</f>
        <v>36</v>
      </c>
      <c r="S64" s="216">
        <f>E83</f>
        <v>0</v>
      </c>
      <c r="T64" s="216">
        <f>F83</f>
        <v>24</v>
      </c>
      <c r="U64" s="3">
        <f>C84</f>
        <v>9</v>
      </c>
      <c r="V64" s="216">
        <f>D84</f>
        <v>37</v>
      </c>
      <c r="W64" s="216">
        <f>E84</f>
        <v>0</v>
      </c>
      <c r="X64" s="216">
        <f>F84</f>
        <v>24</v>
      </c>
    </row>
    <row r="65" spans="2:63" hidden="1" x14ac:dyDescent="0.25">
      <c r="D65" s="246"/>
      <c r="F65" s="246"/>
      <c r="G65" s="246"/>
      <c r="I65" s="246"/>
      <c r="J65" s="246"/>
      <c r="L65" s="246"/>
      <c r="M65" s="246"/>
      <c r="Q65" s="3">
        <f>C33</f>
        <v>5</v>
      </c>
      <c r="R65" s="163">
        <f>D33</f>
        <v>2</v>
      </c>
      <c r="S65" s="163">
        <f>F33</f>
        <v>1</v>
      </c>
      <c r="T65" s="163">
        <f>G33</f>
        <v>6</v>
      </c>
      <c r="U65" s="163">
        <f>I33</f>
        <v>0</v>
      </c>
      <c r="V65" s="163">
        <f>J33</f>
        <v>8</v>
      </c>
      <c r="W65" s="163">
        <f>L33</f>
        <v>0</v>
      </c>
      <c r="X65" s="163">
        <f>M33</f>
        <v>4</v>
      </c>
    </row>
    <row r="66" spans="2:63" s="373" customFormat="1" hidden="1" x14ac:dyDescent="0.25">
      <c r="B66" s="373" t="s">
        <v>445</v>
      </c>
      <c r="C66" s="373">
        <f>C14</f>
        <v>0</v>
      </c>
      <c r="D66" s="373">
        <f>D62</f>
        <v>0</v>
      </c>
      <c r="F66" s="373">
        <f>F14</f>
        <v>0</v>
      </c>
      <c r="G66" s="373">
        <f>G62</f>
        <v>0</v>
      </c>
      <c r="I66" s="373">
        <f>I14</f>
        <v>555</v>
      </c>
      <c r="J66" s="373">
        <f>J62</f>
        <v>1</v>
      </c>
      <c r="L66" s="373">
        <f>L14</f>
        <v>695</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25">
      <c r="B67" s="373" t="s">
        <v>446</v>
      </c>
      <c r="C67" s="373">
        <f>C11</f>
        <v>3060</v>
      </c>
      <c r="D67" s="373">
        <f>D63</f>
        <v>1</v>
      </c>
      <c r="F67" s="373">
        <f>F11</f>
        <v>3060</v>
      </c>
      <c r="G67" s="373">
        <f>G63</f>
        <v>1</v>
      </c>
      <c r="I67" s="373">
        <f>I11</f>
        <v>0</v>
      </c>
      <c r="J67" s="373">
        <f>J63</f>
        <v>0</v>
      </c>
      <c r="L67" s="373">
        <f>L11</f>
        <v>0</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25">
      <c r="B68" s="373" t="s">
        <v>447</v>
      </c>
      <c r="C68" s="351">
        <f>IF(C64=0,0,(C67*C63+C66*C62)/C64)</f>
        <v>468.64864864864853</v>
      </c>
      <c r="D68" s="373">
        <f>D64</f>
        <v>0</v>
      </c>
      <c r="F68" s="351">
        <f>IF(F64=0,0,(F67*F63+F66*F62)/F64)</f>
        <v>528.7818696883852</v>
      </c>
      <c r="G68" s="373">
        <f>G64</f>
        <v>0</v>
      </c>
      <c r="I68" s="351">
        <f>IF(I64=0,0,(I67*I63+I66*I62)/I64)</f>
        <v>806.07142857142844</v>
      </c>
      <c r="J68" s="373">
        <f>J64</f>
        <v>0</v>
      </c>
      <c r="L68" s="351">
        <f>IF(L64=0,0,(L67*L63+L66*L62)/L64)</f>
        <v>1009.4047619047618</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25">
      <c r="Q69" s="77">
        <f>IF(Q65=0,0,MATCH(Q65,$Q$63:$X$63,0))</f>
        <v>5</v>
      </c>
      <c r="R69" s="77">
        <f t="shared" ref="R69:X69" si="21">IF(R65=0,0,MATCH(R65,$Q$63:$X$63,0))</f>
        <v>2</v>
      </c>
      <c r="S69" s="77">
        <f t="shared" si="21"/>
        <v>1</v>
      </c>
      <c r="T69" s="77">
        <f t="shared" si="21"/>
        <v>6</v>
      </c>
      <c r="U69" s="77">
        <f t="shared" si="21"/>
        <v>0</v>
      </c>
      <c r="V69" s="77">
        <f t="shared" si="21"/>
        <v>8</v>
      </c>
      <c r="W69" s="77">
        <f t="shared" si="21"/>
        <v>0</v>
      </c>
      <c r="X69" s="77">
        <f t="shared" si="21"/>
        <v>4</v>
      </c>
    </row>
    <row r="70" spans="2:63" s="246" customFormat="1" hidden="1" x14ac:dyDescent="0.25">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25">
      <c r="B71" s="246" t="s">
        <v>346</v>
      </c>
      <c r="C71" s="246">
        <f>IF(C34&lt;F34,MAX(0,MIN(C34+G34-F34-D35-D36,G34-D35-D36-G37)),G34-D35-D36-G37)</f>
        <v>0</v>
      </c>
      <c r="F71" s="246">
        <f>IF(F34&lt;C34,MAX(0,MIN(F34+D34-C34-G35-G36,D34-G35-G36-D37)),D34-G35-G36-D37)</f>
        <v>0</v>
      </c>
      <c r="I71" s="246">
        <f>IF(I34&lt;L34,MAX(0,MIN(I34+M34-L34-J35-J36,M34-J35-J36-M37)),M34-J35-J36-M37)</f>
        <v>0</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25">
      <c r="B72" s="246" t="s">
        <v>347</v>
      </c>
      <c r="C72" s="246">
        <f>IF(C34&lt;F34,MAX(0,MIN(C34+G34-F34-D35-D36,G34-D35-D36)),G34-D35-D36)</f>
        <v>32.1</v>
      </c>
      <c r="F72" s="246">
        <f>IF(F34&lt;C34,MAX(0,MIN(F34+D34-C34-G35-G36,D34-G35-G36)),D34-G35-G36)</f>
        <v>32.1</v>
      </c>
      <c r="I72" s="246">
        <f>IF(I34&lt;L34,MAX(0,MIN(I34+M34-L34-J35-J36,M34-J35-J36)),M34-J35-J36)</f>
        <v>18.3</v>
      </c>
      <c r="L72" s="246">
        <f>IF(L34&lt;I34,MAX(0,MIN(L34+J34-I34-M35-M36,J34-M35-M36)),J34-M35-M36)</f>
        <v>18.3</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25">
      <c r="B73" s="246" t="s">
        <v>350</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25">
      <c r="B74" s="246" t="s">
        <v>352</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25">
      <c r="B75" s="246" t="s">
        <v>351</v>
      </c>
      <c r="C75" s="246">
        <f>Phasing!O27</f>
        <v>2.2999999999999998</v>
      </c>
      <c r="F75" s="246">
        <f>Phasing!Q27</f>
        <v>2.2999999999999998</v>
      </c>
      <c r="I75" s="246">
        <f>Phasing!S27</f>
        <v>2</v>
      </c>
      <c r="L75" s="246">
        <f>Phasing!U27</f>
        <v>2</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25">
      <c r="B76" s="246" t="s">
        <v>348</v>
      </c>
      <c r="C76" s="246">
        <f>MIN(C71+C75,C77)</f>
        <v>2.2999999999999998</v>
      </c>
      <c r="F76" s="246">
        <f>MIN(F71+F75,F77)</f>
        <v>2.2999999999999998</v>
      </c>
      <c r="I76" s="246">
        <f>MIN(I71+I75,I77)</f>
        <v>2</v>
      </c>
      <c r="L76" s="246">
        <f>MIN(L71+L75,L77)</f>
        <v>2</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25">
      <c r="B77" s="246" t="s">
        <v>349</v>
      </c>
      <c r="C77" s="246">
        <f>MAX(0,C72-C73+C75)</f>
        <v>32.4</v>
      </c>
      <c r="F77" s="246">
        <f>MAX(0,F72-F73+F75)</f>
        <v>32.4</v>
      </c>
      <c r="I77" s="246">
        <f>MAX(0,I72-I73+I75)</f>
        <v>18.3</v>
      </c>
      <c r="L77" s="246">
        <f>MAX(0,L72-L73+L75)</f>
        <v>18.3</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25">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25">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25">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x14ac:dyDescent="0.25">
      <c r="B81" s="291"/>
      <c r="C81" s="291"/>
      <c r="Q81" s="88"/>
      <c r="R81" s="88"/>
      <c r="S81" s="88"/>
      <c r="T81" s="88"/>
      <c r="U81" s="88"/>
      <c r="V81" s="77"/>
      <c r="W81" s="77"/>
    </row>
    <row r="82" spans="2:63" x14ac:dyDescent="0.25">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0.9</v>
      </c>
      <c r="U82" s="87"/>
      <c r="V82" s="77"/>
      <c r="W82" s="77"/>
    </row>
    <row r="83" spans="2:63" x14ac:dyDescent="0.25">
      <c r="B83" s="188" t="s">
        <v>105</v>
      </c>
      <c r="C83" s="188">
        <f t="shared" ref="C83:F84" si="22">IF($C$25=0,0,IF($AE$61=0,R60,AI44))</f>
        <v>10</v>
      </c>
      <c r="D83" s="188">
        <f t="shared" si="22"/>
        <v>36</v>
      </c>
      <c r="E83" s="188">
        <f t="shared" si="22"/>
        <v>0</v>
      </c>
      <c r="F83" s="188">
        <f t="shared" si="22"/>
        <v>24</v>
      </c>
      <c r="G83" s="190">
        <f>SUM(C83:F83)</f>
        <v>70</v>
      </c>
      <c r="H83" s="191">
        <f>C83+D83</f>
        <v>46</v>
      </c>
      <c r="I83" s="191">
        <f>E83+F83</f>
        <v>24</v>
      </c>
      <c r="Q83" s="47"/>
      <c r="R83" s="87"/>
      <c r="S83" s="87"/>
      <c r="T83" s="87"/>
      <c r="U83" s="87"/>
      <c r="V83" s="77"/>
      <c r="W83" s="77"/>
    </row>
    <row r="84" spans="2:63" x14ac:dyDescent="0.25">
      <c r="B84" s="188" t="s">
        <v>106</v>
      </c>
      <c r="C84" s="188">
        <f t="shared" si="22"/>
        <v>9</v>
      </c>
      <c r="D84" s="188">
        <f t="shared" si="22"/>
        <v>37</v>
      </c>
      <c r="E84" s="188">
        <f t="shared" si="22"/>
        <v>0</v>
      </c>
      <c r="F84" s="188">
        <f t="shared" si="22"/>
        <v>24</v>
      </c>
      <c r="G84" s="190">
        <f>SUM(C84:F84)</f>
        <v>70</v>
      </c>
      <c r="H84" s="191">
        <f>C84+D84</f>
        <v>46</v>
      </c>
      <c r="I84" s="191">
        <f>E84+F84</f>
        <v>24</v>
      </c>
      <c r="T84" s="252">
        <f>IF($C$25=0,"CHECK INPUT DATA",IF(OR(SUM(C9:H9)=0,SUM(I9:N9)=0),0,ROUND(SUMPRODUCT(C9:N9,C44:N44)/O9,2)))</f>
        <v>35.64</v>
      </c>
      <c r="U84" s="158" t="str">
        <f>IF($C$25=0,"CHECK INPUT DATA",IF(T84=0,"N/A",VLOOKUP(T84,'LOS table'!$B$3:$D$8,3)))</f>
        <v>D</v>
      </c>
    </row>
    <row r="85" spans="2:63" hidden="1" x14ac:dyDescent="0.25"/>
    <row r="86" spans="2:63" hidden="1" x14ac:dyDescent="0.25">
      <c r="C86" s="3">
        <f>IF(C83&lt;Y44,1,0)</f>
        <v>0</v>
      </c>
      <c r="D86" s="210">
        <f>IF(D83&lt;Z44,1,0)</f>
        <v>0</v>
      </c>
      <c r="F86" s="210">
        <f>IF(E83&lt;AA44,1,0)</f>
        <v>0</v>
      </c>
      <c r="G86" s="210">
        <f>IF(F83&lt;AB44,1,0)</f>
        <v>0</v>
      </c>
    </row>
    <row r="87" spans="2:63" hidden="1" x14ac:dyDescent="0.25">
      <c r="C87" s="210">
        <f>IF(C84&lt;Y45,1,0)</f>
        <v>0</v>
      </c>
      <c r="D87" s="210">
        <f>IF(D84&lt;Z45,1,0)</f>
        <v>0</v>
      </c>
      <c r="F87" s="210">
        <f>IF(E84&lt;AA45,1,0)</f>
        <v>0</v>
      </c>
      <c r="G87" s="210">
        <f>IF(F84&lt;AB45,1,0)</f>
        <v>0</v>
      </c>
    </row>
    <row r="88" spans="2:63" hidden="1" x14ac:dyDescent="0.25"/>
    <row r="89" spans="2:63" hidden="1" x14ac:dyDescent="0.25">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25">
      <c r="B90" s="299" t="s">
        <v>334</v>
      </c>
      <c r="C90" s="299">
        <f>C38</f>
        <v>5</v>
      </c>
      <c r="D90" s="299">
        <f t="shared" ref="D90:N90" si="23">D38</f>
        <v>32</v>
      </c>
      <c r="E90" s="299">
        <f t="shared" si="23"/>
        <v>32</v>
      </c>
      <c r="F90" s="299">
        <f t="shared" si="23"/>
        <v>6</v>
      </c>
      <c r="G90" s="299">
        <f t="shared" si="23"/>
        <v>33</v>
      </c>
      <c r="H90" s="299">
        <f t="shared" si="23"/>
        <v>33</v>
      </c>
      <c r="I90" s="299">
        <f t="shared" si="23"/>
        <v>20</v>
      </c>
      <c r="J90" s="299">
        <f t="shared" si="23"/>
        <v>20</v>
      </c>
      <c r="K90" s="299">
        <f t="shared" si="23"/>
        <v>20</v>
      </c>
      <c r="L90" s="299">
        <f t="shared" si="23"/>
        <v>20</v>
      </c>
      <c r="M90" s="299">
        <f t="shared" si="23"/>
        <v>20</v>
      </c>
      <c r="N90" s="299">
        <f t="shared" si="23"/>
        <v>20</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25">
      <c r="B91" s="246" t="s">
        <v>355</v>
      </c>
      <c r="C91" s="3">
        <f>C3*$C$25/3600</f>
        <v>3.8888888888888888</v>
      </c>
      <c r="E91" s="246"/>
      <c r="F91" s="246">
        <f>F3*$C$25/3600</f>
        <v>4.8611111111111107</v>
      </c>
      <c r="G91" s="246"/>
      <c r="I91" s="246">
        <f>I3*$C$25/3600</f>
        <v>1.4583333333333333</v>
      </c>
      <c r="L91" s="246">
        <f>L3*$C$25/3600</f>
        <v>1.9444444444444444</v>
      </c>
    </row>
    <row r="92" spans="2:63" hidden="1" x14ac:dyDescent="0.25">
      <c r="B92" s="246" t="s">
        <v>354</v>
      </c>
      <c r="C92" s="3">
        <f>MAX(C90*EXP(-0.86*(C91^0.629)-C73),0)</f>
        <v>8.9703317158891446E-2</v>
      </c>
      <c r="F92" s="246">
        <f>MAX(F90*EXP(-0.86*(F91^0.629)-F73),0)</f>
        <v>7.9387633511208311E-2</v>
      </c>
      <c r="I92" s="246">
        <f>MAX(I90*EXP(-0.86*(I91^0.629)-I73),0)</f>
        <v>0.90972416529017552</v>
      </c>
      <c r="L92" s="246">
        <f>MAX(L90*EXP(-0.86*(L91^0.629)-L73),0)</f>
        <v>0.73279274100307545</v>
      </c>
    </row>
    <row r="93" spans="2:63" hidden="1" x14ac:dyDescent="0.25">
      <c r="B93" s="246" t="s">
        <v>356</v>
      </c>
      <c r="C93" s="246">
        <f>MAX(C90*EXP(-0.882*(C91^0.717)-C73),0)</f>
        <v>6.5478869650883495E-2</v>
      </c>
      <c r="F93" s="246">
        <f>MAX(F90*EXP(-0.882*(F91^0.717)-F73),0)</f>
        <v>5.2396353788310965E-2</v>
      </c>
      <c r="I93" s="246">
        <f>MAX(I90*EXP(-0.882*(I91^0.717)-I73),0)</f>
        <v>0.85192457046127334</v>
      </c>
      <c r="L93" s="246">
        <f>MAX(L90*EXP(-0.882*(L91^0.717)-L73),0)</f>
        <v>0.65372114979552931</v>
      </c>
    </row>
    <row r="94" spans="2:63" hidden="1" x14ac:dyDescent="0.25">
      <c r="B94" s="246" t="s">
        <v>353</v>
      </c>
      <c r="C94" s="3">
        <f>IF(SUM(C6:E6)=1,C92,C93)</f>
        <v>6.5478869650883495E-2</v>
      </c>
      <c r="F94" s="246">
        <f>IF(SUM(F6:H6)=1,F92,F93)</f>
        <v>5.2396353788310965E-2</v>
      </c>
      <c r="I94" s="246">
        <f>IF(SUM(I6:K6)=1,I92,I93)</f>
        <v>0.85192457046127334</v>
      </c>
      <c r="L94" s="246">
        <f>IF(SUM(L6:N6)=1,L92,L93)</f>
        <v>0.65372114979552931</v>
      </c>
    </row>
    <row r="95" spans="2:63" hidden="1" x14ac:dyDescent="0.25"/>
    <row r="96" spans="2:63" s="246" customFormat="1" hidden="1" x14ac:dyDescent="0.25">
      <c r="B96" s="256" t="s">
        <v>362</v>
      </c>
      <c r="C96" s="256">
        <f>MAX(0,ROUND(C6*(C63+C35-1)*C11/$C$25,0))</f>
        <v>699</v>
      </c>
      <c r="D96" s="256"/>
      <c r="E96" s="256"/>
      <c r="F96" s="256">
        <f>MAX(0,ROUND(F6*(F63+F35-1)*F11/$C$25,0))</f>
        <v>787</v>
      </c>
      <c r="G96" s="256"/>
      <c r="H96" s="256"/>
      <c r="I96" s="256">
        <f>MAX(0,ROUND(I6*(I63+I35-1)*I11/$C$25,0))</f>
        <v>0</v>
      </c>
      <c r="J96" s="256"/>
      <c r="K96" s="256"/>
      <c r="L96" s="256">
        <f>MAX(0,ROUND(L6*(L63+L35-1)*L11/$C$25,0))</f>
        <v>0</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25">
      <c r="B97" s="256" t="s">
        <v>357</v>
      </c>
      <c r="C97" s="256">
        <f>ROUND(((MIN(C77-C94,C76)*C14+7200)/$C$25)*C6,0)</f>
        <v>206</v>
      </c>
      <c r="D97" s="256"/>
      <c r="E97" s="256"/>
      <c r="F97" s="256">
        <f>ROUND(((MIN(F77-F94,F76)*F14+7200)/$C$25)*F6,0)</f>
        <v>206</v>
      </c>
      <c r="G97" s="256"/>
      <c r="H97" s="256"/>
      <c r="I97" s="256">
        <f>ROUND(((MIN(I77-I94,I76)*I14+7200)/$C$25)*I6,0)</f>
        <v>119</v>
      </c>
      <c r="J97" s="256"/>
      <c r="K97" s="256"/>
      <c r="L97" s="256">
        <f>ROUND(((MIN(L77-L94,L76)*L14+7200)/$C$25)*L6,0)</f>
        <v>123</v>
      </c>
    </row>
    <row r="98" spans="1:13" hidden="1" x14ac:dyDescent="0.25">
      <c r="B98" s="246" t="s">
        <v>358</v>
      </c>
      <c r="C98" s="3">
        <f>IF(C14=0,0,$S$2/C14)</f>
        <v>0</v>
      </c>
      <c r="F98" s="246">
        <f>IF(F14=0,0,$S$2/F14)</f>
        <v>0</v>
      </c>
      <c r="I98" s="246">
        <f>IF(I14=0,0,$S$2/I14)</f>
        <v>3.4234234234234235</v>
      </c>
      <c r="L98" s="246">
        <f>IF(L14=0,0,$S$2/L14)</f>
        <v>2.7338129496402876</v>
      </c>
    </row>
    <row r="99" spans="1:13" hidden="1" x14ac:dyDescent="0.25">
      <c r="B99" s="246" t="s">
        <v>359</v>
      </c>
      <c r="C99" s="3">
        <f>MAX(0,0.5*(C77-C76-C94))</f>
        <v>15.017260565174556</v>
      </c>
      <c r="F99" s="246">
        <f>MAX(0,0.5*(F77-F76-F94))</f>
        <v>15.023801823105844</v>
      </c>
      <c r="I99" s="246">
        <f>MAX(0,0.5*(I77-I76-I94))</f>
        <v>7.7240377147693637</v>
      </c>
      <c r="L99" s="246">
        <f>MAX(0,0.5*(L77-L76-L94))</f>
        <v>7.8231394251022355</v>
      </c>
    </row>
    <row r="100" spans="1:13" hidden="1" x14ac:dyDescent="0.25">
      <c r="B100" s="246" t="s">
        <v>361</v>
      </c>
      <c r="C100" s="3">
        <f>IF(SUM(F3:H3)=0,0,F3/SUM(F3:H3))</f>
        <v>9.727626459143969E-2</v>
      </c>
      <c r="F100" s="246">
        <f>IF(SUM(C3:E3)=0,0,C3/SUM(C3:E3))</f>
        <v>8.8888888888888892E-2</v>
      </c>
      <c r="I100" s="246">
        <f>IF(SUM(L3:N3)=0,0,L3/SUM(L3:N3))</f>
        <v>9.5238095238095233E-2</v>
      </c>
      <c r="L100" s="246">
        <f>IF(SUM(I3:K3)=0,0,I3/SUM(I3:K3))</f>
        <v>9.5541401273885357E-2</v>
      </c>
    </row>
    <row r="101" spans="1:13" hidden="1" x14ac:dyDescent="0.25">
      <c r="B101" s="246" t="s">
        <v>360</v>
      </c>
      <c r="C101" s="3">
        <f>IF(C100=0,0,MAX(1,(1-(1-C100)^C99)/C100))</f>
        <v>8.0692028815839514</v>
      </c>
      <c r="F101" s="246">
        <f>IF(F100=0,0,MAX(1,(1-(1-F100)^F99)/F100))</f>
        <v>8.4718199338012177</v>
      </c>
      <c r="I101" s="246">
        <f>IF(I100=0,0,MAX(1,(1-(1-I100)^I99)/I100))</f>
        <v>5.6531604728783318</v>
      </c>
      <c r="L101" s="246">
        <f>IF(L100=0,0,MAX(1,(1-(1-L100)^L99)/L100))</f>
        <v>5.6954290020044196</v>
      </c>
    </row>
    <row r="102" spans="1:13" hidden="1" x14ac:dyDescent="0.25">
      <c r="B102" s="246" t="s">
        <v>364</v>
      </c>
      <c r="C102" s="3">
        <f>IF(SUM(C3:E3)=0,0,C3/SUM(C3:E3))</f>
        <v>8.8888888888888892E-2</v>
      </c>
      <c r="F102" s="246">
        <f>IF(SUM(F3:H3)=0,0,F3/SUM(F3:H3))</f>
        <v>9.727626459143969E-2</v>
      </c>
      <c r="I102" s="246">
        <f>IF(SUM(I3:K3)=0,0,I3/SUM(I3:K3))</f>
        <v>9.5541401273885357E-2</v>
      </c>
      <c r="L102" s="246">
        <f>IF(SUM(L3:N3)=0,0,L3/SUM(L3:N3))</f>
        <v>9.5238095238095233E-2</v>
      </c>
    </row>
    <row r="103" spans="1:13" hidden="1" x14ac:dyDescent="0.25">
      <c r="B103" s="256" t="s">
        <v>363</v>
      </c>
      <c r="C103" s="256">
        <f>ROUND((C77*C14+3600*(1+C102))/$C$25,0)</f>
        <v>56</v>
      </c>
      <c r="D103" s="256"/>
      <c r="E103" s="256"/>
      <c r="F103" s="256">
        <f>ROUND((F77*F14+3600*(1+F102))/$C$25,0)</f>
        <v>56</v>
      </c>
      <c r="G103" s="256"/>
      <c r="H103" s="256"/>
      <c r="I103" s="256">
        <f>ROUND((I77*I14+3600*(1+I102))/$C$25,0)</f>
        <v>201</v>
      </c>
      <c r="J103" s="256"/>
      <c r="K103" s="256"/>
      <c r="L103" s="256">
        <f>ROUND((L77*L14+3600*(1+L102))/$C$25,0)</f>
        <v>238</v>
      </c>
    </row>
    <row r="104" spans="1:13" hidden="1" x14ac:dyDescent="0.25">
      <c r="B104" s="256" t="s">
        <v>365</v>
      </c>
      <c r="C104" s="256">
        <f>MAX(0,ROUND(((C63+C35-1)*C11/$C$25+(MIN(C77-C94,C76)*C14+7200)/$C$25)*C6,0))</f>
        <v>905</v>
      </c>
      <c r="D104" s="256"/>
      <c r="E104" s="256"/>
      <c r="F104" s="256">
        <f>MAX(0,ROUND(((F63+F35-1)*F11/$C$25+(MIN(F77-F94,F76)*F14+7200)/$C$25)*F6,0))</f>
        <v>993</v>
      </c>
      <c r="G104" s="256"/>
      <c r="H104" s="256"/>
      <c r="I104" s="256">
        <f>MAX(0,ROUND(((I63+I35-1)*I11/$C$25+(MIN(I77-I94,I76)*I14+7200)/$C$25)*I6,0))</f>
        <v>119</v>
      </c>
      <c r="J104" s="256"/>
      <c r="K104" s="256"/>
      <c r="L104" s="256">
        <f>MAX(0,ROUND(((L63+L35-1)*L11/$C$25+(MIN(L77-L94,L76)*L14+7200)/$C$25)*L6,0))</f>
        <v>123</v>
      </c>
    </row>
    <row r="105" spans="1:13" hidden="1" x14ac:dyDescent="0.25"/>
    <row r="106" spans="1:13" hidden="1" x14ac:dyDescent="0.25">
      <c r="A106" s="531" t="s">
        <v>492</v>
      </c>
      <c r="B106" s="334" t="s">
        <v>73</v>
      </c>
      <c r="C106" s="334"/>
      <c r="D106" s="334" t="s">
        <v>14</v>
      </c>
      <c r="E106" s="334"/>
      <c r="F106" s="334"/>
      <c r="G106" s="334" t="s">
        <v>19</v>
      </c>
      <c r="H106" s="334"/>
      <c r="I106" s="334"/>
      <c r="J106" s="334" t="s">
        <v>4</v>
      </c>
      <c r="K106" s="334"/>
      <c r="L106" s="334"/>
      <c r="M106" s="442" t="s">
        <v>9</v>
      </c>
    </row>
    <row r="107" spans="1:13" hidden="1" x14ac:dyDescent="0.25">
      <c r="A107" s="532"/>
      <c r="B107" s="168" t="s">
        <v>483</v>
      </c>
      <c r="C107" s="168"/>
      <c r="D107" s="168">
        <f>D37-Phasing!P19</f>
        <v>8.1000000000000014</v>
      </c>
      <c r="E107" s="168"/>
      <c r="F107" s="168"/>
      <c r="G107" s="168">
        <f>G37-Phasing!R19</f>
        <v>9.1000000000000014</v>
      </c>
      <c r="H107" s="168"/>
      <c r="I107" s="168"/>
      <c r="J107" s="168">
        <f>J37-Phasing!T19</f>
        <v>-15.7</v>
      </c>
      <c r="K107" s="168"/>
      <c r="L107" s="168"/>
      <c r="M107" s="443">
        <f>M37-Phasing!V19</f>
        <v>-15.7</v>
      </c>
    </row>
    <row r="108" spans="1:13" hidden="1" x14ac:dyDescent="0.25">
      <c r="A108" s="532"/>
      <c r="B108" s="168" t="s">
        <v>484</v>
      </c>
      <c r="C108" s="168"/>
      <c r="D108" s="168">
        <f>D107+4</f>
        <v>12.100000000000001</v>
      </c>
      <c r="E108" s="168"/>
      <c r="F108" s="168"/>
      <c r="G108" s="168">
        <f>G107+4</f>
        <v>13.100000000000001</v>
      </c>
      <c r="H108" s="168"/>
      <c r="I108" s="168"/>
      <c r="J108" s="168">
        <f>J107+4</f>
        <v>-11.7</v>
      </c>
      <c r="K108" s="168"/>
      <c r="L108" s="168"/>
      <c r="M108" s="443">
        <f>M107+4</f>
        <v>-11.7</v>
      </c>
    </row>
    <row r="109" spans="1:13" hidden="1" x14ac:dyDescent="0.25">
      <c r="A109" s="532"/>
      <c r="B109" s="168" t="s">
        <v>485</v>
      </c>
      <c r="C109" s="444"/>
      <c r="D109" s="444">
        <f>(($C$25-D108)^2)/(2*$C$25)</f>
        <v>23.945785714285712</v>
      </c>
      <c r="E109" s="444"/>
      <c r="F109" s="444"/>
      <c r="G109" s="444">
        <f>(($C$25-G108)^2)/(2*$C$25)</f>
        <v>23.125785714285712</v>
      </c>
      <c r="H109" s="444"/>
      <c r="I109" s="444"/>
      <c r="J109" s="444">
        <f>(($C$25-J108)^2)/(2*$C$25)</f>
        <v>47.677785714285719</v>
      </c>
      <c r="K109" s="444"/>
      <c r="L109" s="444"/>
      <c r="M109" s="445">
        <f>(($C$25-M108)^2)/(2*$C$25)</f>
        <v>47.677785714285719</v>
      </c>
    </row>
    <row r="110" spans="1:13" hidden="1" x14ac:dyDescent="0.25">
      <c r="A110" s="532"/>
      <c r="B110" s="168" t="s">
        <v>489</v>
      </c>
      <c r="C110" s="168"/>
      <c r="D110" s="168">
        <f>'Input sheet'!E17</f>
        <v>88</v>
      </c>
      <c r="E110" s="168"/>
      <c r="F110" s="168"/>
      <c r="G110" s="168">
        <f>'Input sheet'!Q17</f>
        <v>30</v>
      </c>
      <c r="H110" s="168"/>
      <c r="I110" s="168"/>
      <c r="J110" s="168">
        <f>'Input sheet'!O21</f>
        <v>59</v>
      </c>
      <c r="K110" s="168"/>
      <c r="L110" s="168"/>
      <c r="M110" s="443">
        <f>'Input sheet'!M6</f>
        <v>49</v>
      </c>
    </row>
    <row r="111" spans="1:13" hidden="1" x14ac:dyDescent="0.25">
      <c r="A111" s="532"/>
      <c r="B111" s="168" t="s">
        <v>491</v>
      </c>
      <c r="C111" s="168"/>
      <c r="D111" s="446">
        <f>D109*D110/3600</f>
        <v>0.58534142857142846</v>
      </c>
      <c r="E111" s="446"/>
      <c r="F111" s="446"/>
      <c r="G111" s="446">
        <f>G109*G110/3600</f>
        <v>0.19271488095238093</v>
      </c>
      <c r="H111" s="446"/>
      <c r="I111" s="446"/>
      <c r="J111" s="446">
        <f>J109*J110/3600</f>
        <v>0.78138593253968258</v>
      </c>
      <c r="K111" s="446"/>
      <c r="L111" s="446"/>
      <c r="M111" s="447">
        <f>M109*M110/3600</f>
        <v>0.64894763888888896</v>
      </c>
    </row>
    <row r="112" spans="1:13" hidden="1" x14ac:dyDescent="0.25">
      <c r="A112" s="532"/>
      <c r="B112" s="168" t="s">
        <v>490</v>
      </c>
      <c r="C112" s="168"/>
      <c r="D112" s="446">
        <f>D111+G111+J111+M111</f>
        <v>2.2083898809523808</v>
      </c>
      <c r="E112" s="446"/>
      <c r="F112" s="446"/>
      <c r="G112" s="446"/>
      <c r="H112" s="446"/>
      <c r="I112" s="446"/>
      <c r="J112" s="446"/>
      <c r="K112" s="446"/>
      <c r="L112" s="446"/>
      <c r="M112" s="447"/>
    </row>
    <row r="113" spans="1:58" s="436" customFormat="1" hidden="1" x14ac:dyDescent="0.25">
      <c r="A113" s="532"/>
      <c r="B113" s="168" t="s">
        <v>499</v>
      </c>
      <c r="C113" s="168"/>
      <c r="D113" s="449">
        <f>Phasing!P3</f>
        <v>120</v>
      </c>
      <c r="E113" s="449"/>
      <c r="F113" s="449"/>
      <c r="G113" s="449">
        <f>Phasing!R3</f>
        <v>120</v>
      </c>
      <c r="H113" s="449"/>
      <c r="I113" s="449"/>
      <c r="J113" s="449">
        <f>Phasing!T3</f>
        <v>84</v>
      </c>
      <c r="K113" s="449"/>
      <c r="L113" s="449"/>
      <c r="M113" s="450">
        <f>Phasing!V3</f>
        <v>84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25">
      <c r="A114" s="533"/>
      <c r="B114" s="337" t="s">
        <v>500</v>
      </c>
      <c r="C114" s="337"/>
      <c r="D114" s="452">
        <f>MAX(D113:M113)</f>
        <v>120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25"/>
    <row r="116" spans="1:58" hidden="1" x14ac:dyDescent="0.25">
      <c r="A116" s="531" t="s">
        <v>498</v>
      </c>
      <c r="B116" s="334" t="s">
        <v>73</v>
      </c>
      <c r="C116" s="334"/>
      <c r="D116" s="334" t="s">
        <v>14</v>
      </c>
      <c r="E116" s="334"/>
      <c r="F116" s="334"/>
      <c r="G116" s="334" t="s">
        <v>19</v>
      </c>
      <c r="H116" s="334"/>
      <c r="I116" s="334"/>
      <c r="J116" s="334" t="s">
        <v>4</v>
      </c>
      <c r="K116" s="334"/>
      <c r="L116" s="334"/>
      <c r="M116" s="442" t="s">
        <v>9</v>
      </c>
    </row>
    <row r="117" spans="1:58" hidden="1" x14ac:dyDescent="0.25">
      <c r="A117" s="532"/>
      <c r="B117" s="168" t="s">
        <v>493</v>
      </c>
      <c r="C117" s="168"/>
      <c r="D117" s="449">
        <f>2000*D38/$C$25</f>
        <v>914.28571428571433</v>
      </c>
      <c r="E117" s="449"/>
      <c r="F117" s="449"/>
      <c r="G117" s="449">
        <f>2000*G38/$C$25</f>
        <v>942.85714285714289</v>
      </c>
      <c r="H117" s="449"/>
      <c r="I117" s="449"/>
      <c r="J117" s="449">
        <f>2000*J38/$C$25</f>
        <v>571.42857142857144</v>
      </c>
      <c r="K117" s="449"/>
      <c r="L117" s="449"/>
      <c r="M117" s="450">
        <f>2000*M38/$C$25</f>
        <v>571.42857142857144</v>
      </c>
    </row>
    <row r="118" spans="1:58" s="436" customFormat="1" hidden="1" x14ac:dyDescent="0.25">
      <c r="A118" s="532"/>
      <c r="B118" s="168" t="s">
        <v>495</v>
      </c>
      <c r="C118" s="168"/>
      <c r="D118" s="449">
        <f>'Input sheet'!E18</f>
        <v>10</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25">
      <c r="A119" s="532"/>
      <c r="B119" s="168" t="s">
        <v>496</v>
      </c>
      <c r="C119" s="168"/>
      <c r="D119" s="449">
        <f>D38</f>
        <v>32</v>
      </c>
      <c r="E119" s="449"/>
      <c r="F119" s="449"/>
      <c r="G119" s="449">
        <f>G38</f>
        <v>33</v>
      </c>
      <c r="H119" s="449"/>
      <c r="I119" s="449"/>
      <c r="J119" s="449">
        <f>J38</f>
        <v>20</v>
      </c>
      <c r="K119" s="449"/>
      <c r="L119" s="449"/>
      <c r="M119" s="450">
        <f>M38</f>
        <v>20</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25">
      <c r="A120" s="532"/>
      <c r="B120" s="168" t="s">
        <v>494</v>
      </c>
      <c r="C120" s="168"/>
      <c r="D120" s="444">
        <f>(0.5*$C$25*(1-D119/$C$25)^2)/(1-(D118/D117)*(D119/$C$25))</f>
        <v>10.36611629576454</v>
      </c>
      <c r="E120" s="444"/>
      <c r="F120" s="444"/>
      <c r="G120" s="444">
        <f>(0.5*$C$25*(1-G119/$C$25)^2)/(1-(G118/G117)*(G119/$C$25))</f>
        <v>9.7981677640996274</v>
      </c>
      <c r="H120" s="444"/>
      <c r="I120" s="444"/>
      <c r="J120" s="444">
        <f>(0.5*$C$25*(1-J119/$C$25)^2)/(1-(J118/J117)*(J119/$C$25))</f>
        <v>17.8660758950904</v>
      </c>
      <c r="K120" s="444"/>
      <c r="L120" s="444"/>
      <c r="M120" s="445">
        <f>(0.5*$C$25*(1-M119/$C$25)^2)/(1-(M118/M117)*(M119/$C$25))</f>
        <v>17.892928714572001</v>
      </c>
    </row>
    <row r="121" spans="1:58" hidden="1" x14ac:dyDescent="0.25">
      <c r="A121" s="533"/>
      <c r="B121" s="337" t="s">
        <v>497</v>
      </c>
      <c r="C121" s="337"/>
      <c r="D121" s="448">
        <f>(D118*D120+G118*G120+J118*J120+M118*M120)/3600</f>
        <v>6.4525451324283972E-2</v>
      </c>
      <c r="E121" s="337"/>
      <c r="F121" s="337"/>
      <c r="G121" s="337"/>
      <c r="H121" s="337"/>
      <c r="I121" s="337"/>
      <c r="J121" s="337"/>
      <c r="K121" s="337"/>
      <c r="L121" s="337"/>
      <c r="M121" s="451"/>
    </row>
    <row r="122" spans="1:58" hidden="1" x14ac:dyDescent="0.25"/>
    <row r="123" spans="1:58" hidden="1" x14ac:dyDescent="0.25">
      <c r="A123" s="531" t="s">
        <v>509</v>
      </c>
      <c r="B123" s="334" t="s">
        <v>505</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507</v>
      </c>
    </row>
    <row r="124" spans="1:58" hidden="1" x14ac:dyDescent="0.25">
      <c r="A124" s="532"/>
      <c r="B124" s="168" t="s">
        <v>502</v>
      </c>
      <c r="C124" s="446">
        <f>(((100-'Input sheet'!$B$4)/100)*'Phase calculation'!C3*'Phase calculation'!C44*'Input sheet'!$B$2)/3600</f>
        <v>20.361388888888889</v>
      </c>
      <c r="D124" s="446">
        <f>(((100-'Input sheet'!$B$4)/100)*'Phase calculation'!D3*'Phase calculation'!D44*'Input sheet'!$B$2)/3600</f>
        <v>167.12854166666668</v>
      </c>
      <c r="E124" s="446">
        <f>(((100-'Input sheet'!$B$4)/100)*'Phase calculation'!E3*'Phase calculation'!E44*'Input sheet'!$B$2)/3600</f>
        <v>3.6225000000000005</v>
      </c>
      <c r="F124" s="446">
        <f>(((100-'Input sheet'!$B$4)/100)*'Phase calculation'!F3*'Phase calculation'!F44*'Input sheet'!$B$2)/3600</f>
        <v>24.876736111111111</v>
      </c>
      <c r="G124" s="446">
        <f>(((100-'Input sheet'!$B$4)/100)*'Phase calculation'!G3*'Phase calculation'!G44*'Input sheet'!$B$2)/3600</f>
        <v>302.54583333333335</v>
      </c>
      <c r="H124" s="446">
        <f>(((100-'Input sheet'!$B$4)/100)*'Phase calculation'!H3*'Phase calculation'!H44*'Input sheet'!$B$2)/3600</f>
        <v>4.2013333333333334</v>
      </c>
      <c r="I124" s="446">
        <f>(((100-'Input sheet'!$B$4)/100)*'Phase calculation'!I3*'Phase calculation'!I44*'Input sheet'!$B$2)/3600</f>
        <v>10.649479166666667</v>
      </c>
      <c r="J124" s="446">
        <f>(((100-'Input sheet'!$B$4)/100)*'Phase calculation'!J3*'Phase calculation'!J44*'Input sheet'!$B$2)/3600</f>
        <v>58.616458333333334</v>
      </c>
      <c r="K124" s="446">
        <f>(((100-'Input sheet'!$B$4)/100)*'Phase calculation'!K3*'Phase calculation'!K44*'Input sheet'!$B$2)/3600</f>
        <v>3.6589166666666668</v>
      </c>
      <c r="L124" s="446">
        <f>(((100-'Input sheet'!$B$4)/100)*'Phase calculation'!L3*'Phase calculation'!L44*'Input sheet'!$B$2)/3600</f>
        <v>20.799027777777777</v>
      </c>
      <c r="M124" s="446">
        <f>(((100-'Input sheet'!$B$4)/100)*'Phase calculation'!M3*'Phase calculation'!M44*'Input sheet'!$B$2)/3600</f>
        <v>132.17972222222221</v>
      </c>
      <c r="N124" s="446">
        <f>(((100-'Input sheet'!$B$4)/100)*'Phase calculation'!N3*'Phase calculation'!N44*'Input sheet'!$B$2)/3600</f>
        <v>6.4016666666666655</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755.0416041666665</v>
      </c>
    </row>
    <row r="125" spans="1:58" hidden="1" x14ac:dyDescent="0.25">
      <c r="A125" s="532"/>
      <c r="B125" s="168" t="s">
        <v>503</v>
      </c>
      <c r="C125" s="446">
        <f>(('Input sheet'!$B$4/100)*'Phase calculation'!C3*'Phase calculation'!C44*'Input sheet'!$B$3)/3600</f>
        <v>4.4618000000000002</v>
      </c>
      <c r="D125" s="446">
        <f>(('Input sheet'!$B$4/100)*'Phase calculation'!D3*'Phase calculation'!D44*'Input sheet'!$B$3)/3600</f>
        <v>36.62295000000001</v>
      </c>
      <c r="E125" s="446">
        <f>(('Input sheet'!$B$4/100)*'Phase calculation'!E3*'Phase calculation'!E44*'Input sheet'!$B$3)/3600</f>
        <v>0.79380000000000006</v>
      </c>
      <c r="F125" s="446">
        <f>(('Input sheet'!$B$4/100)*'Phase calculation'!F3*'Phase calculation'!F44*'Input sheet'!$B$3)/3600</f>
        <v>5.4512499999999999</v>
      </c>
      <c r="G125" s="446">
        <f>(('Input sheet'!$B$4/100)*'Phase calculation'!G3*'Phase calculation'!G44*'Input sheet'!$B$3)/3600</f>
        <v>66.296999999999997</v>
      </c>
      <c r="H125" s="446">
        <f>(('Input sheet'!$B$4/100)*'Phase calculation'!H3*'Phase calculation'!H44*'Input sheet'!$B$3)/3600</f>
        <v>0.9206399999999999</v>
      </c>
      <c r="I125" s="446">
        <f>(('Input sheet'!$B$4/100)*'Phase calculation'!I3*'Phase calculation'!I44*'Input sheet'!$B$3)/3600</f>
        <v>2.3336250000000005</v>
      </c>
      <c r="J125" s="446">
        <f>(('Input sheet'!$B$4/100)*'Phase calculation'!J3*'Phase calculation'!J44*'Input sheet'!$B$3)/3600</f>
        <v>12.84465</v>
      </c>
      <c r="K125" s="446">
        <f>(('Input sheet'!$B$4/100)*'Phase calculation'!K3*'Phase calculation'!K44*'Input sheet'!$B$3)/3600</f>
        <v>0.80177999999999994</v>
      </c>
      <c r="L125" s="446">
        <f>(('Input sheet'!$B$4/100)*'Phase calculation'!L3*'Phase calculation'!L44*'Input sheet'!$B$3)/3600</f>
        <v>4.5577000000000005</v>
      </c>
      <c r="M125" s="446">
        <f>(('Input sheet'!$B$4/100)*'Phase calculation'!M3*'Phase calculation'!M44*'Input sheet'!$B$3)/3600</f>
        <v>28.964600000000001</v>
      </c>
      <c r="N125" s="446">
        <f>(('Input sheet'!$B$4/100)*'Phase calculation'!N3*'Phase calculation'!N44*'Input sheet'!$B$3)/3600</f>
        <v>1.4028</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0.20327999999999999</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1.7500000000000002E-2</v>
      </c>
      <c r="AK125" s="446">
        <f>(('Input sheet'!$B$4/100)*'Phase calculation'!AK3*'Phase calculation'!AK44*'Input sheet'!$B$3)/3600</f>
        <v>0</v>
      </c>
      <c r="AL125" s="446">
        <f>(('Input sheet'!$B$4/100)*'Phase calculation'!AL3*'Phase calculation'!AL44*'Input sheet'!$B$3)/3600</f>
        <v>6.0900000000000003E-2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165.45259500000003</v>
      </c>
    </row>
    <row r="126" spans="1:58" hidden="1" x14ac:dyDescent="0.25">
      <c r="A126" s="532"/>
      <c r="B126" s="168" t="s">
        <v>54</v>
      </c>
      <c r="C126" s="168"/>
      <c r="D126" s="446">
        <f>D111*'Input sheet'!$B$2</f>
        <v>7.3167678571428558</v>
      </c>
      <c r="E126" s="168"/>
      <c r="F126" s="168"/>
      <c r="G126" s="446">
        <f>G111*'Input sheet'!$B$2</f>
        <v>2.4089360119047618</v>
      </c>
      <c r="H126" s="168"/>
      <c r="I126" s="168"/>
      <c r="J126" s="446">
        <f>J111*'Input sheet'!$B$2</f>
        <v>9.7673241567460316</v>
      </c>
      <c r="K126" s="168"/>
      <c r="L126" s="168"/>
      <c r="M126" s="446">
        <f>M111*'Input sheet'!$B$2</f>
        <v>8.1118454861111111</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27.60487351190476</v>
      </c>
    </row>
    <row r="127" spans="1:58" hidden="1" x14ac:dyDescent="0.25">
      <c r="A127" s="532"/>
      <c r="B127" s="168" t="s">
        <v>506</v>
      </c>
      <c r="C127" s="168"/>
      <c r="D127" s="446">
        <f>(D118*D120/3600)*'Input sheet'!$B$2</f>
        <v>0.35993459360293539</v>
      </c>
      <c r="E127" s="168"/>
      <c r="F127" s="168"/>
      <c r="G127" s="446">
        <f>(G118*G120/3600)*'Input sheet'!$B$2</f>
        <v>0.13608566339027262</v>
      </c>
      <c r="H127" s="168"/>
      <c r="I127" s="168"/>
      <c r="J127" s="446">
        <f>(J118*J120/3600)*'Input sheet'!$B$2</f>
        <v>6.2034985746841666E-2</v>
      </c>
      <c r="K127" s="168"/>
      <c r="L127" s="168"/>
      <c r="M127" s="446">
        <f>(M118*M120/3600)*'Input sheet'!$B$2</f>
        <v>0.2485128988135</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0.80656814155354972</v>
      </c>
    </row>
    <row r="128" spans="1:58" hidden="1" x14ac:dyDescent="0.25">
      <c r="A128" s="533"/>
      <c r="B128" s="464" t="s">
        <v>508</v>
      </c>
      <c r="C128" s="465">
        <f>SUM(BF124:BF127)</f>
        <v>948.90564082012475</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25"/>
    <row r="130" spans="1:63" hidden="1" x14ac:dyDescent="0.25"/>
    <row r="131" spans="1:63" hidden="1" x14ac:dyDescent="0.25">
      <c r="B131" s="466"/>
      <c r="C131" s="334" t="s">
        <v>511</v>
      </c>
      <c r="D131" s="334" t="s">
        <v>512</v>
      </c>
      <c r="E131" s="334" t="s">
        <v>513</v>
      </c>
      <c r="F131" s="334" t="s">
        <v>514</v>
      </c>
      <c r="G131" s="442"/>
      <c r="BI131" s="436" t="s">
        <v>515</v>
      </c>
      <c r="BJ131" s="436" t="s">
        <v>516</v>
      </c>
      <c r="BK131" s="436" t="s">
        <v>517</v>
      </c>
    </row>
    <row r="132" spans="1:63" hidden="1" x14ac:dyDescent="0.25">
      <c r="B132" s="335" t="s">
        <v>510</v>
      </c>
      <c r="C132" s="168">
        <f>Phasing!P3</f>
        <v>120</v>
      </c>
      <c r="D132" s="168">
        <f>Phasing!R3</f>
        <v>120</v>
      </c>
      <c r="E132" s="168">
        <f>Phasing!T3</f>
        <v>84</v>
      </c>
      <c r="F132" s="168">
        <f>Phasing!V3</f>
        <v>84</v>
      </c>
      <c r="G132" s="443"/>
      <c r="BI132" s="436">
        <v>8</v>
      </c>
      <c r="BJ132" s="436" t="s">
        <v>521</v>
      </c>
      <c r="BK132" s="436">
        <v>300</v>
      </c>
    </row>
    <row r="133" spans="1:63" hidden="1" x14ac:dyDescent="0.25">
      <c r="B133" s="335" t="s">
        <v>42</v>
      </c>
      <c r="C133" s="168">
        <f>'Input sheet'!D13</f>
        <v>40</v>
      </c>
      <c r="D133" s="168">
        <f>'Input sheet'!P13</f>
        <v>40</v>
      </c>
      <c r="E133" s="168">
        <f>'Input sheet'!J24</f>
        <v>30</v>
      </c>
      <c r="F133" s="168">
        <f>'Input sheet'!J4</f>
        <v>30</v>
      </c>
      <c r="G133" s="443"/>
      <c r="BI133" s="436">
        <v>6</v>
      </c>
      <c r="BJ133" s="436" t="s">
        <v>520</v>
      </c>
      <c r="BK133" s="436">
        <v>350</v>
      </c>
    </row>
    <row r="134" spans="1:63" hidden="1" x14ac:dyDescent="0.25">
      <c r="B134" s="335" t="s">
        <v>522</v>
      </c>
      <c r="C134" s="168" t="e">
        <f>VLOOKUP(C133,#REF!,3)</f>
        <v>#REF!</v>
      </c>
      <c r="D134" s="168" t="e">
        <f>VLOOKUP(D133,#REF!,3)</f>
        <v>#REF!</v>
      </c>
      <c r="E134" s="168" t="e">
        <f>VLOOKUP(E133,#REF!,3)</f>
        <v>#REF!</v>
      </c>
      <c r="F134" s="168" t="e">
        <f>VLOOKUP(F133,#REF!,3)</f>
        <v>#REF!</v>
      </c>
      <c r="G134" s="443"/>
      <c r="BI134" s="436">
        <v>5</v>
      </c>
      <c r="BJ134" s="436" t="s">
        <v>519</v>
      </c>
      <c r="BK134" s="436">
        <v>660</v>
      </c>
    </row>
    <row r="135" spans="1:63" hidden="1" x14ac:dyDescent="0.25">
      <c r="B135" s="335" t="s">
        <v>517</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25">
      <c r="B136" s="335" t="s">
        <v>518</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25">
      <c r="B137" s="335" t="s">
        <v>525</v>
      </c>
      <c r="C137" s="168" t="e">
        <f>INDEX(#REF!,MATCH(C134,$BJ$132:$BJ$134,0))</f>
        <v>#REF!</v>
      </c>
      <c r="D137" s="168" t="e">
        <f>INDEX(#REF!,MATCH(D134,$BJ$132:$BJ$134,0))</f>
        <v>#REF!</v>
      </c>
      <c r="E137" s="168" t="e">
        <f>INDEX(#REF!,MATCH(E134,$BJ$132:$BJ$134,0))</f>
        <v>#REF!</v>
      </c>
      <c r="F137" s="168" t="e">
        <f>INDEX(#REF!,MATCH(F134,$BJ$132:$BJ$134,0))</f>
        <v>#REF!</v>
      </c>
      <c r="G137" s="468" t="s">
        <v>507</v>
      </c>
    </row>
    <row r="138" spans="1:63" hidden="1" x14ac:dyDescent="0.25">
      <c r="B138" s="335" t="s">
        <v>523</v>
      </c>
      <c r="C138" s="444" t="e">
        <f>(C137-C132)/C135</f>
        <v>#REF!</v>
      </c>
      <c r="D138" s="444" t="e">
        <f t="shared" ref="D138:F138" si="25">(D137-D132)/D135</f>
        <v>#REF!</v>
      </c>
      <c r="E138" s="444" t="e">
        <f t="shared" si="25"/>
        <v>#REF!</v>
      </c>
      <c r="F138" s="444" t="e">
        <f t="shared" si="25"/>
        <v>#REF!</v>
      </c>
      <c r="G138" s="469" t="e">
        <f>SUM(C138:F138)</f>
        <v>#REF!</v>
      </c>
    </row>
    <row r="139" spans="1:63" hidden="1" x14ac:dyDescent="0.25">
      <c r="B139" s="336" t="s">
        <v>524</v>
      </c>
      <c r="C139" s="467" t="e">
        <f>(C137-C132)/C136</f>
        <v>#REF!</v>
      </c>
      <c r="D139" s="467" t="e">
        <f t="shared" ref="D139:F139" si="26">(D137-D132)/D136</f>
        <v>#REF!</v>
      </c>
      <c r="E139" s="467" t="e">
        <f t="shared" si="26"/>
        <v>#REF!</v>
      </c>
      <c r="F139" s="467" t="e">
        <f t="shared" si="26"/>
        <v>#REF!</v>
      </c>
      <c r="G139" s="470" t="e">
        <f>SUM(C139:F139)</f>
        <v>#REF!</v>
      </c>
    </row>
    <row r="140" spans="1:63" hidden="1" x14ac:dyDescent="0.25"/>
    <row r="141" spans="1:63" hidden="1" x14ac:dyDescent="0.25"/>
    <row r="142" spans="1:63" hidden="1" x14ac:dyDescent="0.25">
      <c r="A142" s="521" t="s">
        <v>533</v>
      </c>
      <c r="B142" s="334" t="s">
        <v>73</v>
      </c>
      <c r="C142" s="334"/>
      <c r="D142" s="334" t="s">
        <v>14</v>
      </c>
      <c r="E142" s="334"/>
      <c r="F142" s="334"/>
      <c r="G142" s="334" t="s">
        <v>19</v>
      </c>
      <c r="H142" s="334"/>
      <c r="I142" s="334"/>
      <c r="J142" s="334" t="s">
        <v>4</v>
      </c>
      <c r="K142" s="334"/>
      <c r="L142" s="334"/>
      <c r="M142" s="442" t="s">
        <v>9</v>
      </c>
    </row>
    <row r="143" spans="1:63" hidden="1" x14ac:dyDescent="0.25">
      <c r="A143" s="522"/>
      <c r="B143" s="168" t="s">
        <v>534</v>
      </c>
      <c r="C143" s="168"/>
      <c r="D143" s="449">
        <f>'Input sheet'!A15</f>
        <v>10</v>
      </c>
      <c r="E143" s="449"/>
      <c r="F143" s="449"/>
      <c r="G143" s="449">
        <f>'Input sheet'!R15</f>
        <v>10</v>
      </c>
      <c r="H143" s="449"/>
      <c r="I143" s="449"/>
      <c r="J143" s="449">
        <f>'Input sheet'!M26</f>
        <v>0</v>
      </c>
      <c r="K143" s="449"/>
      <c r="L143" s="449"/>
      <c r="M143" s="450">
        <f>'Input sheet'!M2</f>
        <v>0</v>
      </c>
    </row>
    <row r="144" spans="1:63" hidden="1" x14ac:dyDescent="0.25">
      <c r="A144" s="522"/>
      <c r="B144" s="168" t="s">
        <v>535</v>
      </c>
      <c r="C144" s="168"/>
      <c r="D144" s="449">
        <f>D38</f>
        <v>32</v>
      </c>
      <c r="E144" s="449"/>
      <c r="F144" s="449"/>
      <c r="G144" s="449">
        <f>G38</f>
        <v>33</v>
      </c>
      <c r="H144" s="449"/>
      <c r="I144" s="449"/>
      <c r="J144" s="449">
        <f>J38</f>
        <v>20</v>
      </c>
      <c r="K144" s="449"/>
      <c r="L144" s="449"/>
      <c r="M144" s="450">
        <f>M38</f>
        <v>20</v>
      </c>
    </row>
    <row r="145" spans="1:13" hidden="1" x14ac:dyDescent="0.25">
      <c r="A145" s="522"/>
      <c r="B145" s="168" t="s">
        <v>536</v>
      </c>
      <c r="C145" s="168"/>
      <c r="D145" s="444">
        <f>D44</f>
        <v>26.830000000000002</v>
      </c>
      <c r="E145" s="444"/>
      <c r="F145" s="444"/>
      <c r="G145" s="444">
        <f>G44</f>
        <v>43.05</v>
      </c>
      <c r="H145" s="444"/>
      <c r="I145" s="444"/>
      <c r="J145" s="444">
        <f>J44</f>
        <v>28.23</v>
      </c>
      <c r="K145" s="444"/>
      <c r="L145" s="444"/>
      <c r="M145" s="445">
        <f>M44</f>
        <v>48.68</v>
      </c>
    </row>
    <row r="146" spans="1:13" hidden="1" x14ac:dyDescent="0.25">
      <c r="A146" s="523"/>
      <c r="B146" s="337" t="s">
        <v>537</v>
      </c>
      <c r="C146" s="337"/>
      <c r="D146" s="448">
        <f>(D143*D145+G143*G145+J143*J145+M143*M145)/3600</f>
        <v>0.1941111111111111</v>
      </c>
      <c r="E146" s="337"/>
      <c r="F146" s="337"/>
      <c r="G146" s="337"/>
      <c r="H146" s="337"/>
      <c r="I146" s="337"/>
      <c r="J146" s="337"/>
      <c r="K146" s="337"/>
      <c r="L146" s="337"/>
      <c r="M146" s="451"/>
    </row>
    <row r="147" spans="1:13" hidden="1" x14ac:dyDescent="0.25"/>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19"/>
  </cols>
  <sheetData>
    <row r="3" spans="1:14" x14ac:dyDescent="0.25">
      <c r="D3" s="499" t="s">
        <v>116</v>
      </c>
      <c r="E3" s="499"/>
      <c r="F3" s="499"/>
      <c r="G3" s="499"/>
      <c r="H3" s="499"/>
      <c r="I3" s="499"/>
      <c r="J3" s="499"/>
      <c r="K3" s="499"/>
      <c r="L3" s="499" t="s">
        <v>117</v>
      </c>
      <c r="M3" s="499"/>
      <c r="N3" s="499"/>
    </row>
    <row r="4" spans="1:14" x14ac:dyDescent="0.25">
      <c r="D4" s="499" t="s">
        <v>118</v>
      </c>
      <c r="E4" s="499"/>
      <c r="F4" s="499"/>
      <c r="G4" s="499"/>
      <c r="H4" s="499"/>
      <c r="I4" s="499"/>
      <c r="J4" s="499"/>
      <c r="K4" s="499"/>
    </row>
    <row r="5" spans="1:14" ht="45" x14ac:dyDescent="0.25">
      <c r="B5" s="63" t="s">
        <v>119</v>
      </c>
      <c r="C5" s="349">
        <v>40</v>
      </c>
      <c r="D5" s="64">
        <v>50</v>
      </c>
      <c r="E5" s="64">
        <v>60</v>
      </c>
      <c r="F5" s="64">
        <v>70</v>
      </c>
      <c r="G5" s="64">
        <v>80</v>
      </c>
      <c r="H5" s="64">
        <v>90</v>
      </c>
      <c r="I5" s="64">
        <v>100</v>
      </c>
      <c r="J5" s="64">
        <v>110</v>
      </c>
      <c r="K5" s="64">
        <v>120</v>
      </c>
      <c r="L5" s="64">
        <v>130</v>
      </c>
      <c r="M5" s="64">
        <v>140</v>
      </c>
      <c r="N5" s="64">
        <v>150</v>
      </c>
    </row>
    <row r="6" spans="1:14" x14ac:dyDescent="0.25">
      <c r="B6" s="3" t="s">
        <v>120</v>
      </c>
      <c r="D6" s="499" t="s">
        <v>121</v>
      </c>
      <c r="E6" s="499"/>
      <c r="F6" s="499"/>
      <c r="G6" s="499"/>
      <c r="H6" s="499"/>
      <c r="I6" s="499"/>
      <c r="J6" s="499"/>
      <c r="K6" s="499"/>
    </row>
    <row r="7" spans="1:14" x14ac:dyDescent="0.25">
      <c r="A7" s="494" t="s">
        <v>133</v>
      </c>
      <c r="B7" s="65">
        <v>0</v>
      </c>
      <c r="C7" s="65">
        <v>5</v>
      </c>
      <c r="D7" s="65">
        <v>5</v>
      </c>
      <c r="E7" s="65">
        <v>5</v>
      </c>
      <c r="F7" s="65">
        <v>5</v>
      </c>
      <c r="G7" s="65">
        <v>5</v>
      </c>
      <c r="H7" s="65">
        <v>5</v>
      </c>
      <c r="I7" s="65">
        <v>5</v>
      </c>
      <c r="J7" s="65">
        <v>5</v>
      </c>
      <c r="K7" s="65">
        <v>5</v>
      </c>
      <c r="L7" s="65">
        <v>5</v>
      </c>
      <c r="M7" s="65">
        <v>5</v>
      </c>
      <c r="N7" s="65">
        <v>5</v>
      </c>
    </row>
    <row r="8" spans="1:14" x14ac:dyDescent="0.25">
      <c r="A8" s="494"/>
      <c r="B8" s="65">
        <v>50</v>
      </c>
      <c r="C8" s="65">
        <v>7</v>
      </c>
      <c r="D8" s="65">
        <v>7</v>
      </c>
      <c r="E8" s="65">
        <v>7</v>
      </c>
      <c r="F8" s="65">
        <v>7</v>
      </c>
      <c r="G8" s="65">
        <v>7</v>
      </c>
      <c r="H8" s="65">
        <v>7</v>
      </c>
      <c r="I8" s="65">
        <v>7</v>
      </c>
      <c r="J8" s="65">
        <v>7</v>
      </c>
      <c r="K8" s="65">
        <v>7</v>
      </c>
      <c r="L8" s="65">
        <v>7</v>
      </c>
      <c r="M8" s="65">
        <v>7</v>
      </c>
      <c r="N8" s="65">
        <v>7</v>
      </c>
    </row>
    <row r="9" spans="1:14" x14ac:dyDescent="0.25">
      <c r="B9" s="3">
        <v>100</v>
      </c>
      <c r="C9" s="319">
        <v>15</v>
      </c>
      <c r="D9" s="3">
        <v>15</v>
      </c>
      <c r="E9" s="3">
        <v>15</v>
      </c>
      <c r="F9" s="3">
        <v>15</v>
      </c>
      <c r="G9" s="3">
        <v>15</v>
      </c>
      <c r="H9" s="3">
        <v>15</v>
      </c>
      <c r="I9" s="3">
        <v>15</v>
      </c>
      <c r="J9" s="3">
        <v>15</v>
      </c>
      <c r="K9" s="3">
        <v>15</v>
      </c>
      <c r="L9" s="3">
        <v>15</v>
      </c>
      <c r="M9" s="3">
        <v>15</v>
      </c>
      <c r="N9" s="3">
        <v>15</v>
      </c>
    </row>
    <row r="10" spans="1:14" x14ac:dyDescent="0.25">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9" t="s">
        <v>140</v>
      </c>
      <c r="C2" s="89" t="s">
        <v>141</v>
      </c>
      <c r="D2" s="89" t="s">
        <v>139</v>
      </c>
    </row>
    <row r="3" spans="2:4" x14ac:dyDescent="0.25">
      <c r="B3" s="74">
        <v>0</v>
      </c>
      <c r="C3" s="74">
        <v>10</v>
      </c>
      <c r="D3" s="89" t="s">
        <v>142</v>
      </c>
    </row>
    <row r="4" spans="2:4" x14ac:dyDescent="0.25">
      <c r="B4" s="74">
        <v>10.1</v>
      </c>
      <c r="C4" s="74">
        <v>20</v>
      </c>
      <c r="D4" s="89" t="s">
        <v>143</v>
      </c>
    </row>
    <row r="5" spans="2:4" x14ac:dyDescent="0.25">
      <c r="B5" s="74">
        <v>20.100000000000001</v>
      </c>
      <c r="C5" s="74">
        <v>35</v>
      </c>
      <c r="D5" s="89" t="s">
        <v>144</v>
      </c>
    </row>
    <row r="6" spans="2:4" x14ac:dyDescent="0.25">
      <c r="B6" s="74">
        <v>35.1</v>
      </c>
      <c r="C6" s="74">
        <v>55</v>
      </c>
      <c r="D6" s="89" t="s">
        <v>145</v>
      </c>
    </row>
    <row r="7" spans="2:4" x14ac:dyDescent="0.25">
      <c r="B7" s="74">
        <v>55.1</v>
      </c>
      <c r="C7" s="74">
        <v>80</v>
      </c>
      <c r="D7" s="89" t="s">
        <v>146</v>
      </c>
    </row>
    <row r="8" spans="2:4" x14ac:dyDescent="0.25">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election activeCell="V20" sqref="V20"/>
    </sheetView>
  </sheetViews>
  <sheetFormatPr defaultRowHeight="15" x14ac:dyDescent="0.25"/>
  <cols>
    <col min="1" max="1" width="9.140625" style="200"/>
    <col min="2" max="2" width="18.28515625" style="200" bestFit="1" customWidth="1"/>
    <col min="3" max="11" width="9.140625" style="200"/>
    <col min="12" max="13" width="9.140625" style="200" customWidth="1"/>
    <col min="14" max="14" width="15.5703125" style="200" customWidth="1"/>
    <col min="15" max="26" width="9.140625" style="200" customWidth="1"/>
    <col min="27" max="27" width="9.140625" style="381" customWidth="1"/>
    <col min="28" max="28" width="9.140625" style="200" customWidth="1"/>
    <col min="29" max="31" width="9.140625" style="200"/>
    <col min="32" max="32" width="13" style="200" bestFit="1" customWidth="1"/>
    <col min="33" max="16384" width="9.140625" style="200"/>
  </cols>
  <sheetData>
    <row r="1" spans="2:27" s="202" customFormat="1" x14ac:dyDescent="0.25">
      <c r="D1" s="202">
        <v>111</v>
      </c>
      <c r="E1" s="202">
        <v>112</v>
      </c>
      <c r="F1" s="202">
        <v>212</v>
      </c>
      <c r="G1" s="202">
        <v>211</v>
      </c>
      <c r="H1" s="202">
        <v>121</v>
      </c>
      <c r="I1" s="202">
        <v>122</v>
      </c>
      <c r="J1" s="202">
        <v>221</v>
      </c>
      <c r="K1" s="202">
        <v>222</v>
      </c>
      <c r="AA1" s="381"/>
    </row>
    <row r="2" spans="2:27" x14ac:dyDescent="0.25">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25">
      <c r="B3" s="200" t="s">
        <v>277</v>
      </c>
      <c r="D3" s="200">
        <f>'Phase calculation'!C83</f>
        <v>10</v>
      </c>
      <c r="E3" s="213">
        <f>'Phase calculation'!D83</f>
        <v>36</v>
      </c>
      <c r="F3" s="213">
        <f>'Phase calculation'!E83</f>
        <v>0</v>
      </c>
      <c r="G3" s="213">
        <f>'Phase calculation'!F83</f>
        <v>24</v>
      </c>
      <c r="H3" s="200">
        <f>'Phase calculation'!C84</f>
        <v>9</v>
      </c>
      <c r="I3" s="213">
        <f>'Phase calculation'!D84</f>
        <v>37</v>
      </c>
      <c r="J3" s="213">
        <f>'Phase calculation'!E84</f>
        <v>0</v>
      </c>
      <c r="K3" s="213">
        <f>'Phase calculation'!F84</f>
        <v>24</v>
      </c>
      <c r="N3" s="200" t="s">
        <v>279</v>
      </c>
      <c r="P3" s="200">
        <f>IF('Summary sheet'!U15=0,0,MAX(30,12*'Summary sheet'!U15+12))</f>
        <v>120</v>
      </c>
      <c r="R3" s="200">
        <f>IF('Summary sheet'!AA15=0,0,MAX(30,12*'Summary sheet'!AA15+12))</f>
        <v>120</v>
      </c>
      <c r="T3" s="200">
        <f>IF('Summary sheet'!Z17=0,0,MAX(30,12*'Summary sheet'!Z17+12))</f>
        <v>84</v>
      </c>
      <c r="V3" s="200">
        <f>IF('Summary sheet'!Z4=0,0,MAX(30,12*'Summary sheet'!Z4+12))</f>
        <v>84</v>
      </c>
    </row>
    <row r="4" spans="2:27" x14ac:dyDescent="0.25">
      <c r="B4" s="200" t="s">
        <v>73</v>
      </c>
      <c r="D4" s="200" t="str">
        <f>'Phase designation'!K41</f>
        <v>WBL</v>
      </c>
      <c r="E4" s="200" t="str">
        <f>'Phase designation'!L41</f>
        <v>EBT</v>
      </c>
      <c r="F4" s="200" t="str">
        <f>'Phase designation'!M41</f>
        <v/>
      </c>
      <c r="G4" s="200" t="str">
        <f>'Phase designation'!N41</f>
        <v>SBT</v>
      </c>
      <c r="H4" s="200" t="str">
        <f>'Phase designation'!K42</f>
        <v>EBL</v>
      </c>
      <c r="I4" s="200" t="str">
        <f>'Phase designation'!L42</f>
        <v>WBT</v>
      </c>
      <c r="J4" s="200" t="str">
        <f>'Phase designation'!M42</f>
        <v/>
      </c>
      <c r="K4" s="200" t="str">
        <f>'Phase designation'!N42</f>
        <v>NBT</v>
      </c>
      <c r="N4" s="204" t="s">
        <v>294</v>
      </c>
      <c r="P4" s="200">
        <f>MAX(Sheet1!N11:P11)</f>
        <v>40</v>
      </c>
      <c r="R4" s="200">
        <f>MAX(Sheet1!S11:U11)</f>
        <v>40</v>
      </c>
      <c r="T4" s="200">
        <f>MAX(Sheet1!C11:F11,Sheet1!W11:AB11)</f>
        <v>30</v>
      </c>
      <c r="V4" s="200">
        <f>MAX(Sheet1!I11:K11,Sheet1!AC11:AH11)</f>
        <v>30</v>
      </c>
    </row>
    <row r="5" spans="2:27" s="210" customFormat="1" x14ac:dyDescent="0.25">
      <c r="B5" s="210" t="s">
        <v>42</v>
      </c>
      <c r="E5" s="210">
        <f>IF(E4="",0,INDEX($O$6:$V$6,1,E6))</f>
        <v>40</v>
      </c>
      <c r="G5" s="210">
        <f>IF(G4="",0,INDEX($O$6:$V$6,1,G6))</f>
        <v>30</v>
      </c>
      <c r="I5" s="210">
        <f>IF(I4="",0,INDEX($O$6:$V$6,1,I6))</f>
        <v>40</v>
      </c>
      <c r="K5" s="210">
        <f>IF(K4="",0,INDEX($O$6:$V$6,1,K6))</f>
        <v>30</v>
      </c>
      <c r="AA5" s="381"/>
    </row>
    <row r="6" spans="2:27" x14ac:dyDescent="0.25">
      <c r="B6" s="210" t="s">
        <v>301</v>
      </c>
      <c r="D6" s="200">
        <f t="shared" ref="D6:K6" si="0">IF(D4="",0,MATCH(D4,$O$2:$V$2,0))</f>
        <v>3</v>
      </c>
      <c r="E6" s="200">
        <f t="shared" si="0"/>
        <v>2</v>
      </c>
      <c r="F6" s="200">
        <f t="shared" si="0"/>
        <v>0</v>
      </c>
      <c r="G6" s="200">
        <f t="shared" si="0"/>
        <v>8</v>
      </c>
      <c r="H6" s="200">
        <f t="shared" si="0"/>
        <v>1</v>
      </c>
      <c r="I6" s="200">
        <f t="shared" si="0"/>
        <v>4</v>
      </c>
      <c r="J6" s="200">
        <f t="shared" si="0"/>
        <v>0</v>
      </c>
      <c r="K6" s="200">
        <f t="shared" si="0"/>
        <v>6</v>
      </c>
      <c r="N6" s="204" t="s">
        <v>295</v>
      </c>
      <c r="P6" s="200">
        <f>IF(P4&lt;25,25,ROUNDDOWN(P4/5,0)*5)</f>
        <v>40</v>
      </c>
      <c r="R6" s="204">
        <f>IF(R4&lt;25,25,ROUNDDOWN(R4/5,0)*5)</f>
        <v>40</v>
      </c>
      <c r="T6" s="204">
        <f>IF(T4&lt;25,25,ROUNDDOWN(T4/5,0)*5)</f>
        <v>30</v>
      </c>
      <c r="V6" s="204">
        <f>IF(V4&lt;25,25,ROUNDDOWN(V4/5,0)*5)</f>
        <v>30</v>
      </c>
    </row>
    <row r="7" spans="2:27" x14ac:dyDescent="0.25">
      <c r="B7" s="200" t="s">
        <v>261</v>
      </c>
      <c r="D7" s="200">
        <f>IF(D6=0,0,INDEX($O$8:$V$8,1,D6))</f>
        <v>3.9</v>
      </c>
      <c r="E7" s="200">
        <f t="shared" ref="E7:K7" si="1">IF(E6=0,0,INDEX($O$8:$V$8,1,E6))</f>
        <v>3.9</v>
      </c>
      <c r="F7" s="200">
        <f t="shared" si="1"/>
        <v>0</v>
      </c>
      <c r="G7" s="200">
        <f t="shared" si="1"/>
        <v>3.2</v>
      </c>
      <c r="H7" s="200">
        <f t="shared" si="1"/>
        <v>3.9</v>
      </c>
      <c r="I7" s="200">
        <f t="shared" si="1"/>
        <v>3.9</v>
      </c>
      <c r="J7" s="200">
        <f t="shared" si="1"/>
        <v>0</v>
      </c>
      <c r="K7" s="200">
        <f t="shared" si="1"/>
        <v>3.2</v>
      </c>
      <c r="N7" s="200" t="s">
        <v>282</v>
      </c>
      <c r="P7" s="200">
        <f>IF(P6=0,0,MATCH(P6,'Y-AllRed'!$A:$A))</f>
        <v>7</v>
      </c>
      <c r="R7" s="200">
        <f>IF(R6=0,0,MATCH(R6,'Y-AllRed'!$A:$A))</f>
        <v>7</v>
      </c>
      <c r="T7" s="200">
        <f>IF(T6=0,0,MATCH(T6,'Y-AllRed'!$A:$A))</f>
        <v>5</v>
      </c>
      <c r="V7" s="200">
        <f>IF(V6=0,0,MATCH(V6,'Y-AllRed'!$A:$A))</f>
        <v>5</v>
      </c>
    </row>
    <row r="8" spans="2:27" x14ac:dyDescent="0.25">
      <c r="B8" s="200" t="s">
        <v>285</v>
      </c>
      <c r="D8" s="200">
        <f>IF(D6=0,0,INDEX($O$11:$V$11,1,D6))</f>
        <v>0</v>
      </c>
      <c r="E8" s="200">
        <f t="shared" ref="E8:K8" si="2">IF(E6=0,0,INDEX($O$11:$V$11,1,E6))</f>
        <v>0</v>
      </c>
      <c r="F8" s="200">
        <f t="shared" si="2"/>
        <v>0</v>
      </c>
      <c r="G8" s="200">
        <f t="shared" si="2"/>
        <v>2.5</v>
      </c>
      <c r="H8" s="200">
        <f t="shared" si="2"/>
        <v>0</v>
      </c>
      <c r="I8" s="200">
        <f t="shared" si="2"/>
        <v>0</v>
      </c>
      <c r="J8" s="200">
        <f t="shared" si="2"/>
        <v>0</v>
      </c>
      <c r="K8" s="200">
        <f t="shared" si="2"/>
        <v>2.5</v>
      </c>
      <c r="N8" s="201" t="s">
        <v>261</v>
      </c>
      <c r="O8" s="201">
        <f>P8</f>
        <v>3.9</v>
      </c>
      <c r="P8" s="201">
        <f>IF(P3=0,0,INDEX('Y-AllRed'!$B:$B,Phasing!P7))</f>
        <v>3.9</v>
      </c>
      <c r="Q8" s="201">
        <f>R8</f>
        <v>3.9</v>
      </c>
      <c r="R8" s="201">
        <f>IF(R3=0,0,INDEX('Y-AllRed'!$B:$B,Phasing!R7))</f>
        <v>3.9</v>
      </c>
      <c r="S8" s="201">
        <f>T8</f>
        <v>3.2</v>
      </c>
      <c r="T8" s="201">
        <f>IF(T3=0,0,INDEX('Y-AllRed'!$B:$B,Phasing!T7))</f>
        <v>3.2</v>
      </c>
      <c r="U8" s="201">
        <f>V8</f>
        <v>3.2</v>
      </c>
      <c r="V8" s="201">
        <f>IF(V3=0,0,INDEX('Y-AllRed'!$B:$B,Phasing!V7))</f>
        <v>3.2</v>
      </c>
    </row>
    <row r="9" spans="2:27" x14ac:dyDescent="0.25">
      <c r="B9" s="200" t="s">
        <v>264</v>
      </c>
      <c r="E9" s="203">
        <f>IF(E6=0,0,INDEX($O$22:$V$22,1,E6))</f>
        <v>0</v>
      </c>
      <c r="G9" s="215">
        <f>IF(G6=0,0,INDEX($O$22:$V$22,1,G6))</f>
        <v>0</v>
      </c>
      <c r="I9" s="215">
        <f>IF(I6=0,0,INDEX($O$22:$V$22,1,I6))</f>
        <v>0</v>
      </c>
      <c r="K9" s="215">
        <f>IF(K6=0,0,INDEX($O$22:$V$22,1,K6))</f>
        <v>0</v>
      </c>
      <c r="N9" s="200" t="s">
        <v>283</v>
      </c>
      <c r="P9" s="200">
        <f>P7</f>
        <v>7</v>
      </c>
      <c r="R9" s="200">
        <f>R7</f>
        <v>7</v>
      </c>
      <c r="T9" s="200">
        <f>T7</f>
        <v>5</v>
      </c>
      <c r="V9" s="200">
        <f>V7</f>
        <v>5</v>
      </c>
    </row>
    <row r="10" spans="2:27" x14ac:dyDescent="0.25">
      <c r="B10" s="200" t="s">
        <v>286</v>
      </c>
      <c r="E10" s="200">
        <f>IF(E9=0,0,INDEX($O$19:$V$19,E6))</f>
        <v>0</v>
      </c>
      <c r="F10" s="203"/>
      <c r="G10" s="210">
        <f>IF(G9=0,0,INDEX($O$19:$V$19,G6))</f>
        <v>0</v>
      </c>
      <c r="H10" s="203"/>
      <c r="I10" s="210">
        <f>IF(I9=0,0,INDEX($O$19:$V$19,I6))</f>
        <v>0</v>
      </c>
      <c r="J10" s="203"/>
      <c r="K10" s="210">
        <f>IF(K9=0,0,INDEX($O$19:$V$19,K6))</f>
        <v>0</v>
      </c>
      <c r="N10" s="200" t="s">
        <v>284</v>
      </c>
      <c r="P10" s="200">
        <f>IF(P3=0,0,1+MATCH(P3,'Y-AllRed'!$3:$3))</f>
        <v>8</v>
      </c>
      <c r="R10" s="200">
        <f>IF(R3=0,0,1+MATCH(R3,'Y-AllRed'!$3:$3))</f>
        <v>8</v>
      </c>
      <c r="T10" s="200">
        <f>IF(T3=0,0,1+MATCH(T3,'Y-AllRed'!$3:$3))</f>
        <v>6</v>
      </c>
      <c r="V10" s="200">
        <f>IF(V3=0,0,1+MATCH(V3,'Y-AllRed'!$3:$3))</f>
        <v>6</v>
      </c>
    </row>
    <row r="11" spans="2:27" x14ac:dyDescent="0.25">
      <c r="B11" s="200" t="s">
        <v>287</v>
      </c>
      <c r="D11" s="200">
        <f>IF(D4="",0,5)</f>
        <v>5</v>
      </c>
      <c r="E11" s="200">
        <f>IF(E5&gt;40,15,10)</f>
        <v>10</v>
      </c>
      <c r="F11" s="210">
        <f>IF(F4="",0,5)</f>
        <v>0</v>
      </c>
      <c r="G11" s="210">
        <f>IF(G5&gt;40,15,10)</f>
        <v>10</v>
      </c>
      <c r="H11" s="210">
        <f>IF(H4="",0,5)</f>
        <v>5</v>
      </c>
      <c r="I11" s="210">
        <f>IF(I5&gt;40,15,10)</f>
        <v>10</v>
      </c>
      <c r="J11" s="210">
        <f>IF(J4="",0,5)</f>
        <v>0</v>
      </c>
      <c r="K11" s="210">
        <f>IF(K5&gt;40,15,10)</f>
        <v>10</v>
      </c>
      <c r="N11" s="76" t="s">
        <v>262</v>
      </c>
      <c r="O11" s="76">
        <f>P11</f>
        <v>0</v>
      </c>
      <c r="P11" s="76">
        <f>INDEX('Y-AllRed'!1:1048576,Phasing!P9,Phasing!P10)</f>
        <v>0</v>
      </c>
      <c r="Q11" s="76">
        <f>R11</f>
        <v>0</v>
      </c>
      <c r="R11" s="76">
        <f>INDEX('Y-AllRed'!1:1048576,Phasing!R9,Phasing!R10)</f>
        <v>0</v>
      </c>
      <c r="S11" s="76">
        <f>T11</f>
        <v>2.5</v>
      </c>
      <c r="T11" s="76">
        <f>INDEX('Y-AllRed'!1:1048576,Phasing!T9,Phasing!T10)</f>
        <v>2.5</v>
      </c>
      <c r="U11" s="76">
        <f>V11</f>
        <v>2.5</v>
      </c>
      <c r="V11" s="76">
        <f>INDEX('Y-AllRed'!1:1048576,Phasing!V9,Phasing!V10)</f>
        <v>2.5</v>
      </c>
    </row>
    <row r="12" spans="2:27" x14ac:dyDescent="0.25">
      <c r="B12" s="200" t="s">
        <v>288</v>
      </c>
      <c r="D12" s="77">
        <f>IF(D4="",0,ROUNDUP(INDEX($O$16:$V$16,D6),0))</f>
        <v>15</v>
      </c>
      <c r="E12" s="324">
        <f t="shared" ref="E12:K12" si="3">IF(E4="",0,ROUNDUP(INDEX($O$16:$V$16,E6),0))</f>
        <v>36</v>
      </c>
      <c r="F12" s="324">
        <f t="shared" si="3"/>
        <v>0</v>
      </c>
      <c r="G12" s="324">
        <f t="shared" si="3"/>
        <v>24</v>
      </c>
      <c r="H12" s="324">
        <f t="shared" si="3"/>
        <v>15</v>
      </c>
      <c r="I12" s="324">
        <f t="shared" si="3"/>
        <v>42</v>
      </c>
      <c r="J12" s="324">
        <f t="shared" si="3"/>
        <v>0</v>
      </c>
      <c r="K12" s="324">
        <f t="shared" si="3"/>
        <v>19</v>
      </c>
      <c r="L12" s="77"/>
    </row>
    <row r="13" spans="2:27" x14ac:dyDescent="0.25">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25">
      <c r="B14" s="200" t="s">
        <v>258</v>
      </c>
      <c r="D14" s="200">
        <f>IF(D3=0,0,10)</f>
        <v>10</v>
      </c>
      <c r="E14" s="200">
        <f t="shared" ref="E14:K14" si="4">IF(E3=0,0,10)</f>
        <v>10</v>
      </c>
      <c r="F14" s="200">
        <f t="shared" si="4"/>
        <v>0</v>
      </c>
      <c r="G14" s="200">
        <f t="shared" si="4"/>
        <v>10</v>
      </c>
      <c r="H14" s="200">
        <f t="shared" si="4"/>
        <v>10</v>
      </c>
      <c r="I14" s="200">
        <f t="shared" si="4"/>
        <v>10</v>
      </c>
      <c r="J14" s="200">
        <f t="shared" si="4"/>
        <v>0</v>
      </c>
      <c r="K14" s="200">
        <f t="shared" si="4"/>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25">
      <c r="B15" s="200" t="s">
        <v>259</v>
      </c>
      <c r="D15" s="200">
        <f>IF(D3=0,0,INDEX($O$14:$Z$14,1,O17))</f>
        <v>8</v>
      </c>
      <c r="E15" s="203">
        <f t="shared" ref="E15:K15" si="5">IF(E3=0,0,INDEX($O$14:$Z$14,1,P17))</f>
        <v>15</v>
      </c>
      <c r="F15" s="203">
        <f t="shared" si="5"/>
        <v>0</v>
      </c>
      <c r="G15" s="203">
        <f t="shared" si="5"/>
        <v>18</v>
      </c>
      <c r="H15" s="203">
        <f t="shared" si="5"/>
        <v>33</v>
      </c>
      <c r="I15" s="203">
        <f t="shared" si="5"/>
        <v>8</v>
      </c>
      <c r="J15" s="203">
        <f t="shared" si="5"/>
        <v>0</v>
      </c>
      <c r="K15" s="203">
        <f t="shared" si="5"/>
        <v>8</v>
      </c>
      <c r="O15" s="200">
        <v>1</v>
      </c>
      <c r="P15" s="200">
        <v>2</v>
      </c>
      <c r="Q15" s="200">
        <v>3</v>
      </c>
      <c r="R15" s="200">
        <v>4</v>
      </c>
      <c r="S15" s="200">
        <v>5</v>
      </c>
      <c r="T15" s="200">
        <v>6</v>
      </c>
      <c r="U15" s="200">
        <v>7</v>
      </c>
      <c r="V15" s="200">
        <v>8</v>
      </c>
    </row>
    <row r="16" spans="2:27" x14ac:dyDescent="0.25">
      <c r="B16" s="200" t="s">
        <v>290</v>
      </c>
      <c r="D16" s="200">
        <f>IF(D4="",0,INDEX($O$28:$V$28,D6))</f>
        <v>0.3</v>
      </c>
      <c r="E16" s="222">
        <f t="shared" ref="E16:K16" si="6">IF(E4="",0,INDEX($O$28:$V$28,E6))</f>
        <v>0.3</v>
      </c>
      <c r="F16" s="222">
        <f t="shared" si="6"/>
        <v>0</v>
      </c>
      <c r="G16" s="222">
        <f t="shared" si="6"/>
        <v>0</v>
      </c>
      <c r="H16" s="222">
        <f t="shared" si="6"/>
        <v>0.3</v>
      </c>
      <c r="I16" s="222">
        <f t="shared" si="6"/>
        <v>0.3</v>
      </c>
      <c r="J16" s="222">
        <f t="shared" si="6"/>
        <v>0</v>
      </c>
      <c r="K16" s="222">
        <f t="shared" si="6"/>
        <v>0</v>
      </c>
      <c r="N16" s="200" t="s">
        <v>288</v>
      </c>
      <c r="O16" s="351">
        <f>'Phase calculation'!C29</f>
        <v>15</v>
      </c>
      <c r="P16" s="351">
        <f>'Phase calculation'!D29</f>
        <v>36</v>
      </c>
      <c r="Q16" s="351">
        <f>'Phase calculation'!F29</f>
        <v>15</v>
      </c>
      <c r="R16" s="351">
        <f>'Phase calculation'!G29</f>
        <v>42</v>
      </c>
      <c r="S16" s="351">
        <f>'Phase calculation'!I29</f>
        <v>70</v>
      </c>
      <c r="T16" s="351">
        <f>'Phase calculation'!J29</f>
        <v>19</v>
      </c>
      <c r="U16" s="351">
        <f>'Phase calculation'!L29</f>
        <v>70</v>
      </c>
      <c r="V16" s="351">
        <f>'Phase calculation'!M29</f>
        <v>24</v>
      </c>
    </row>
    <row r="17" spans="1:32" x14ac:dyDescent="0.25">
      <c r="B17" s="200" t="s">
        <v>257</v>
      </c>
      <c r="D17" s="200">
        <f>IF(D4="",0,INDEX($O$27:$V$27,D6))</f>
        <v>2.2999999999999998</v>
      </c>
      <c r="E17" s="222">
        <f t="shared" ref="E17:K17" si="7">IF(E4="",0,INDEX($O$27:$V$27,E6))</f>
        <v>2.2999999999999998</v>
      </c>
      <c r="F17" s="222">
        <f t="shared" si="7"/>
        <v>0</v>
      </c>
      <c r="G17" s="222">
        <f t="shared" si="7"/>
        <v>2</v>
      </c>
      <c r="H17" s="222">
        <f t="shared" si="7"/>
        <v>2.2999999999999998</v>
      </c>
      <c r="I17" s="222">
        <f t="shared" si="7"/>
        <v>2.2999999999999998</v>
      </c>
      <c r="J17" s="222">
        <f t="shared" si="7"/>
        <v>0</v>
      </c>
      <c r="K17" s="222">
        <f t="shared" si="7"/>
        <v>2</v>
      </c>
      <c r="N17" s="200" t="s">
        <v>289</v>
      </c>
      <c r="O17" s="200">
        <f>IF(O16=0,0,MATCH(O16,$O$13:$Z$13,1))</f>
        <v>1</v>
      </c>
      <c r="P17" s="203">
        <f t="shared" ref="P17:V17" si="8">IF(P16=0,0,MATCH(P16,$O$13:$Z$13,1))</f>
        <v>5</v>
      </c>
      <c r="Q17" s="203">
        <f t="shared" si="8"/>
        <v>1</v>
      </c>
      <c r="R17" s="203">
        <f t="shared" si="8"/>
        <v>6</v>
      </c>
      <c r="S17" s="203">
        <f t="shared" si="8"/>
        <v>12</v>
      </c>
      <c r="T17" s="203">
        <f t="shared" si="8"/>
        <v>1</v>
      </c>
      <c r="U17" s="203">
        <f t="shared" si="8"/>
        <v>12</v>
      </c>
      <c r="V17" s="203">
        <f t="shared" si="8"/>
        <v>2</v>
      </c>
    </row>
    <row r="18" spans="1:32" x14ac:dyDescent="0.25">
      <c r="B18" s="200" t="s">
        <v>267</v>
      </c>
      <c r="D18" s="200">
        <f>IF(D4="",0,9)</f>
        <v>9</v>
      </c>
      <c r="E18" s="210">
        <f>IF(E9=0,ROUNDUP(E11+E7+E8,0),ROUNDUP(E9+E10+E7+E8,0))</f>
        <v>14</v>
      </c>
      <c r="F18" s="210">
        <f>IF(F4="",0,9)</f>
        <v>0</v>
      </c>
      <c r="G18" s="222">
        <f>IF(G9=0,ROUNDUP(G11+G7+G8,0),ROUNDUP(G9+G10+G7+G8,0))</f>
        <v>16</v>
      </c>
      <c r="H18" s="210">
        <f>IF(H4="",0,9)</f>
        <v>9</v>
      </c>
      <c r="I18" s="222">
        <f>IF(I9=0,ROUNDUP(I11+I7+I8,0),ROUNDUP(I9+I10+I7+I8,0))</f>
        <v>14</v>
      </c>
      <c r="J18" s="210">
        <f>IF(J4="",0,9)</f>
        <v>0</v>
      </c>
      <c r="K18" s="222">
        <f>IF(K9=0,ROUNDUP(K11+K7+K8,0),ROUNDUP(K9+K10+K7+K8,0))</f>
        <v>16</v>
      </c>
      <c r="N18" s="203" t="s">
        <v>291</v>
      </c>
      <c r="P18" s="203">
        <f>IF(E4="",0,MATCH(E4,$O$2:$V$2,0))</f>
        <v>2</v>
      </c>
      <c r="Q18" s="203"/>
      <c r="R18" s="203">
        <f>IF(G4="",0,MATCH(G4,$O$2:$V$2,0))</f>
        <v>8</v>
      </c>
      <c r="S18" s="203"/>
      <c r="T18" s="203">
        <f>IF(I4="",0,MATCH(I4,$O$2:$V$2,0))</f>
        <v>4</v>
      </c>
      <c r="U18" s="203"/>
      <c r="V18" s="203">
        <f>IF(K4="",0,MATCH(K4,$O$2:$V$2,0))</f>
        <v>6</v>
      </c>
    </row>
    <row r="19" spans="1:32" x14ac:dyDescent="0.25">
      <c r="B19" s="200" t="s">
        <v>270</v>
      </c>
      <c r="D19" s="200">
        <v>0</v>
      </c>
      <c r="E19" s="200">
        <f>IF(D3=0,0,D20)</f>
        <v>10</v>
      </c>
      <c r="F19" s="200">
        <f>E20</f>
        <v>46</v>
      </c>
      <c r="G19" s="200">
        <f>F20</f>
        <v>46</v>
      </c>
      <c r="H19" s="200">
        <v>0</v>
      </c>
      <c r="I19" s="200">
        <f>IF(H3=0,0,H20)</f>
        <v>9</v>
      </c>
      <c r="J19" s="200">
        <f>I20</f>
        <v>46</v>
      </c>
      <c r="K19" s="200">
        <f>J20</f>
        <v>46</v>
      </c>
      <c r="N19" s="203" t="s">
        <v>265</v>
      </c>
      <c r="P19" s="200">
        <f>ROUND(T3/'Input sheet'!$V$10,0)</f>
        <v>24</v>
      </c>
      <c r="Q19" s="203"/>
      <c r="R19" s="479">
        <f>ROUND(V3/'Input sheet'!$V$10,0)</f>
        <v>24</v>
      </c>
      <c r="S19" s="203"/>
      <c r="T19" s="479">
        <f>ROUND(R3/'Input sheet'!$V$10,0)</f>
        <v>34</v>
      </c>
      <c r="U19" s="203"/>
      <c r="V19" s="479">
        <f>ROUND(P3/'Input sheet'!$V$10,0)</f>
        <v>34</v>
      </c>
    </row>
    <row r="20" spans="1:32" x14ac:dyDescent="0.25">
      <c r="B20" s="200" t="s">
        <v>271</v>
      </c>
      <c r="D20" s="200">
        <f t="shared" ref="D20:K20" si="9">D19+D3</f>
        <v>10</v>
      </c>
      <c r="E20" s="200">
        <f t="shared" si="9"/>
        <v>46</v>
      </c>
      <c r="F20" s="200">
        <f t="shared" si="9"/>
        <v>46</v>
      </c>
      <c r="G20" s="200">
        <f t="shared" si="9"/>
        <v>70</v>
      </c>
      <c r="H20" s="200">
        <f t="shared" si="9"/>
        <v>9</v>
      </c>
      <c r="I20" s="200">
        <f t="shared" si="9"/>
        <v>46</v>
      </c>
      <c r="J20" s="200">
        <f t="shared" si="9"/>
        <v>46</v>
      </c>
      <c r="K20" s="200">
        <f t="shared" si="9"/>
        <v>70</v>
      </c>
      <c r="N20" s="203" t="s">
        <v>292</v>
      </c>
      <c r="P20" s="200">
        <v>4</v>
      </c>
      <c r="R20" s="200">
        <v>4</v>
      </c>
      <c r="T20" s="200">
        <v>4</v>
      </c>
      <c r="V20" s="200">
        <v>4</v>
      </c>
    </row>
    <row r="21" spans="1:32" x14ac:dyDescent="0.25">
      <c r="B21" s="200" t="s">
        <v>272</v>
      </c>
      <c r="D21" s="200">
        <f>ROUND(IF(D3=0,0,D20-D7-D8),0)</f>
        <v>6</v>
      </c>
      <c r="E21" s="200">
        <f t="shared" ref="E21:K21" si="10">ROUND(IF(E3=0,0,E20-E7-E8),0)</f>
        <v>42</v>
      </c>
      <c r="F21" s="200">
        <f t="shared" si="10"/>
        <v>0</v>
      </c>
      <c r="G21" s="200">
        <f t="shared" si="10"/>
        <v>64</v>
      </c>
      <c r="H21" s="200">
        <f t="shared" si="10"/>
        <v>5</v>
      </c>
      <c r="I21" s="200">
        <f t="shared" si="10"/>
        <v>42</v>
      </c>
      <c r="J21" s="200">
        <f t="shared" si="10"/>
        <v>0</v>
      </c>
      <c r="K21" s="200">
        <f t="shared" si="10"/>
        <v>64</v>
      </c>
      <c r="N21" s="203" t="s">
        <v>293</v>
      </c>
      <c r="P21" s="203">
        <f>IF(E9=0,0,MIN(ROUNDDOWN(E3-E7-E8-E9,0),ROUNDUP(E9+P19+E7+E8,0)))</f>
        <v>0</v>
      </c>
      <c r="Q21" s="203"/>
      <c r="R21" s="203">
        <f>IF(G9=0,0,MIN(ROUNDDOWN(G3-G7-G8-G9,0),ROUNDUP(G9+R19+G7+G8,0)))</f>
        <v>0</v>
      </c>
      <c r="S21" s="203"/>
      <c r="T21" s="203">
        <f>IF(I9=0,0,MIN(ROUNDDOWN(I3-I7-I8-I9,0),ROUNDUP(I9+T19+I7+I8,0)))</f>
        <v>0</v>
      </c>
      <c r="U21" s="203"/>
      <c r="V21" s="203">
        <f>IF(K9=0,0,MIN(ROUNDDOWN(K3-K7-K8-K9,0),ROUNDUP(K9+V19+K7+K8,0)))</f>
        <v>0</v>
      </c>
    </row>
    <row r="22" spans="1:32" x14ac:dyDescent="0.25">
      <c r="B22" s="200" t="s">
        <v>273</v>
      </c>
      <c r="D22" s="200">
        <f>D21</f>
        <v>6</v>
      </c>
      <c r="E22" s="200">
        <f t="shared" ref="E22:K22" si="11">E21</f>
        <v>42</v>
      </c>
      <c r="F22" s="200">
        <f t="shared" si="11"/>
        <v>0</v>
      </c>
      <c r="G22" s="200">
        <f t="shared" si="11"/>
        <v>64</v>
      </c>
      <c r="H22" s="200">
        <f t="shared" si="11"/>
        <v>5</v>
      </c>
      <c r="I22" s="200">
        <f t="shared" si="11"/>
        <v>42</v>
      </c>
      <c r="J22" s="200">
        <f t="shared" si="11"/>
        <v>0</v>
      </c>
      <c r="K22" s="200">
        <f t="shared" si="11"/>
        <v>64</v>
      </c>
      <c r="N22" s="210" t="s">
        <v>264</v>
      </c>
      <c r="P22" s="200">
        <f>IF('Input sheet'!T2=1,5,0)</f>
        <v>0</v>
      </c>
      <c r="R22" s="200">
        <f>IF('Input sheet'!V2=1,5,0)</f>
        <v>0</v>
      </c>
      <c r="T22" s="200">
        <f>IF('Input sheet'!U2=1,5,0)</f>
        <v>0</v>
      </c>
      <c r="V22" s="200">
        <f>IF('Input sheet'!W2=1,5,0)</f>
        <v>0</v>
      </c>
    </row>
    <row r="23" spans="1:32" x14ac:dyDescent="0.25">
      <c r="B23" s="200" t="s">
        <v>274</v>
      </c>
      <c r="D23" s="200">
        <f>D19</f>
        <v>0</v>
      </c>
      <c r="E23" s="200">
        <f t="shared" ref="E23:K23" si="12">E19</f>
        <v>10</v>
      </c>
      <c r="F23" s="200">
        <f t="shared" si="12"/>
        <v>46</v>
      </c>
      <c r="G23" s="200">
        <f t="shared" si="12"/>
        <v>46</v>
      </c>
      <c r="H23" s="200">
        <f t="shared" si="12"/>
        <v>0</v>
      </c>
      <c r="I23" s="200">
        <f t="shared" si="12"/>
        <v>9</v>
      </c>
      <c r="J23" s="200">
        <f t="shared" si="12"/>
        <v>46</v>
      </c>
      <c r="K23" s="200">
        <f t="shared" si="12"/>
        <v>46</v>
      </c>
      <c r="N23" s="222" t="s">
        <v>309</v>
      </c>
      <c r="P23" s="200">
        <f>IF(P6&lt;=25,3,3.5)</f>
        <v>3.5</v>
      </c>
      <c r="Q23" s="210"/>
      <c r="R23" s="222">
        <f>IF(R6&lt;=25,3,3.5)</f>
        <v>3.5</v>
      </c>
      <c r="S23" s="210"/>
      <c r="T23" s="222">
        <f>IF(T6&lt;=25,3,3.5)</f>
        <v>3.5</v>
      </c>
      <c r="U23" s="210"/>
      <c r="V23" s="222">
        <f>IF(V6&lt;=25,3,3.5)</f>
        <v>3.5</v>
      </c>
    </row>
    <row r="24" spans="1:32" x14ac:dyDescent="0.25">
      <c r="B24" s="200" t="s">
        <v>275</v>
      </c>
      <c r="D24" s="200">
        <f>D21</f>
        <v>6</v>
      </c>
      <c r="E24" s="200">
        <f t="shared" ref="E24:K24" si="13">E21</f>
        <v>42</v>
      </c>
      <c r="F24" s="200">
        <f t="shared" si="13"/>
        <v>0</v>
      </c>
      <c r="G24" s="200">
        <f t="shared" si="13"/>
        <v>64</v>
      </c>
      <c r="H24" s="200">
        <f t="shared" si="13"/>
        <v>5</v>
      </c>
      <c r="I24" s="200">
        <f t="shared" si="13"/>
        <v>42</v>
      </c>
      <c r="J24" s="200">
        <f t="shared" si="13"/>
        <v>0</v>
      </c>
      <c r="K24" s="200">
        <f t="shared" si="13"/>
        <v>64</v>
      </c>
      <c r="N24" s="210" t="s">
        <v>299</v>
      </c>
      <c r="P24" s="200">
        <f>VLOOKUP(P6,DetZone!$G$4:$H$10,2,FALSE)</f>
        <v>70</v>
      </c>
      <c r="Q24" s="210"/>
      <c r="R24" s="222">
        <f>VLOOKUP(R6,DetZone!$G$4:$H$10,2,FALSE)</f>
        <v>70</v>
      </c>
      <c r="S24" s="210"/>
      <c r="T24" s="222">
        <f>VLOOKUP(T6,DetZone!$G$4:$H$10,2,FALSE)</f>
        <v>60</v>
      </c>
      <c r="U24" s="210"/>
      <c r="V24" s="222">
        <f>VLOOKUP(V6,DetZone!$G$4:$H$10,2,FALSE)</f>
        <v>60</v>
      </c>
    </row>
    <row r="25" spans="1:32" x14ac:dyDescent="0.25">
      <c r="B25" s="200" t="s">
        <v>276</v>
      </c>
      <c r="D25" s="200">
        <f>D24</f>
        <v>6</v>
      </c>
      <c r="E25" s="200">
        <f t="shared" ref="E25:K25" si="14">E24</f>
        <v>42</v>
      </c>
      <c r="F25" s="200">
        <f t="shared" si="14"/>
        <v>0</v>
      </c>
      <c r="G25" s="200">
        <f t="shared" si="14"/>
        <v>64</v>
      </c>
      <c r="H25" s="200">
        <f t="shared" si="14"/>
        <v>5</v>
      </c>
      <c r="I25" s="200">
        <f t="shared" si="14"/>
        <v>42</v>
      </c>
      <c r="J25" s="200">
        <f t="shared" si="14"/>
        <v>0</v>
      </c>
      <c r="K25" s="200">
        <f t="shared" si="14"/>
        <v>64</v>
      </c>
      <c r="N25" s="222" t="s">
        <v>316</v>
      </c>
      <c r="P25" s="200">
        <f>MATCH(P24,DetZone!$B$18:$B$22,0)</f>
        <v>4</v>
      </c>
      <c r="R25" s="222">
        <f>MATCH(R24,DetZone!$B$18:$B$22,0)</f>
        <v>4</v>
      </c>
      <c r="T25" s="222">
        <f>MATCH(T24,DetZone!$B$18:$B$22,0)</f>
        <v>2</v>
      </c>
      <c r="V25" s="222">
        <f>MATCH(V24,DetZone!$B$18:$B$22,0)</f>
        <v>2</v>
      </c>
    </row>
    <row r="26" spans="1:32" x14ac:dyDescent="0.25">
      <c r="G26" s="65" t="s">
        <v>303</v>
      </c>
      <c r="K26" s="65" t="s">
        <v>304</v>
      </c>
      <c r="L26" s="212" t="s">
        <v>302</v>
      </c>
      <c r="N26" s="222" t="s">
        <v>317</v>
      </c>
      <c r="P26" s="200">
        <f>MATCH(P6,DetZone!$C$17:$I$17,0)</f>
        <v>4</v>
      </c>
      <c r="R26" s="222">
        <f>MATCH(R6,DetZone!$C$17:$I$17,0)</f>
        <v>4</v>
      </c>
      <c r="T26" s="222">
        <f>MATCH(T6,DetZone!$C$17:$I$17,0)</f>
        <v>2</v>
      </c>
      <c r="V26" s="222">
        <f>MATCH(V6,DetZone!$C$17:$I$17,0)</f>
        <v>2</v>
      </c>
    </row>
    <row r="27" spans="1:32" s="210" customFormat="1" x14ac:dyDescent="0.25">
      <c r="G27" s="65">
        <f>MAX(D43+E43,H43+I43)</f>
        <v>23</v>
      </c>
      <c r="K27" s="65">
        <f>MAX(F43+G43,J43+K43)</f>
        <v>16</v>
      </c>
      <c r="L27" s="212">
        <f>G27+K27</f>
        <v>39</v>
      </c>
      <c r="N27" s="122" t="s">
        <v>257</v>
      </c>
      <c r="O27" s="122">
        <f>P27</f>
        <v>2.2999999999999998</v>
      </c>
      <c r="P27" s="122">
        <f>INDEX(DetZone!$C$18:$I$22,Phasing!P25,Phasing!P26)</f>
        <v>2.2999999999999998</v>
      </c>
      <c r="Q27" s="122">
        <f>R27</f>
        <v>2.2999999999999998</v>
      </c>
      <c r="R27" s="122">
        <f>INDEX(DetZone!$C$18:$I$22,Phasing!R25,Phasing!R26)</f>
        <v>2.2999999999999998</v>
      </c>
      <c r="S27" s="122">
        <f>T27</f>
        <v>2</v>
      </c>
      <c r="T27" s="122">
        <f>INDEX(DetZone!$C$18:$I$22,Phasing!T25,Phasing!T26)</f>
        <v>2</v>
      </c>
      <c r="U27" s="122">
        <f>V27</f>
        <v>2</v>
      </c>
      <c r="V27" s="122">
        <f>INDEX(DetZone!$C$18:$I$22,Phasing!V25,Phasing!V26)</f>
        <v>2</v>
      </c>
      <c r="AA27" s="381"/>
    </row>
    <row r="28" spans="1:32" x14ac:dyDescent="0.25">
      <c r="A28" s="510" t="s">
        <v>204</v>
      </c>
      <c r="B28" s="510"/>
      <c r="C28" s="510"/>
      <c r="N28" s="224" t="s">
        <v>319</v>
      </c>
      <c r="O28" s="224">
        <f>P28</f>
        <v>0.3</v>
      </c>
      <c r="P28" s="224">
        <f>INDEX(DetZone!$C$27:$I$31,Phasing!P25,Phasing!P26)</f>
        <v>0.3</v>
      </c>
      <c r="Q28" s="224">
        <f>R28</f>
        <v>0.3</v>
      </c>
      <c r="R28" s="224">
        <f>INDEX(DetZone!$C$27:$I$31,Phasing!R25,Phasing!R26)</f>
        <v>0.3</v>
      </c>
      <c r="S28" s="224">
        <f>T28</f>
        <v>0</v>
      </c>
      <c r="T28" s="224">
        <f>INDEX(DetZone!$C$27:$I$31,Phasing!T25,Phasing!T26)</f>
        <v>0</v>
      </c>
      <c r="U28" s="224">
        <f>V28</f>
        <v>0</v>
      </c>
      <c r="V28" s="224">
        <f>INDEX(DetZone!$C$27:$I$31,Phasing!V25,Phasing!V26)</f>
        <v>0</v>
      </c>
    </row>
    <row r="29" spans="1:32" x14ac:dyDescent="0.25">
      <c r="B29" s="256" t="s">
        <v>0</v>
      </c>
      <c r="C29" s="256" t="s">
        <v>1</v>
      </c>
      <c r="D29" s="256" t="s">
        <v>246</v>
      </c>
      <c r="E29" s="256" t="s">
        <v>247</v>
      </c>
      <c r="F29" s="256" t="s">
        <v>248</v>
      </c>
      <c r="G29" s="256" t="s">
        <v>249</v>
      </c>
      <c r="H29" s="256" t="s">
        <v>250</v>
      </c>
      <c r="I29" s="256" t="s">
        <v>251</v>
      </c>
      <c r="J29" s="256" t="s">
        <v>252</v>
      </c>
      <c r="K29" s="256" t="s">
        <v>253</v>
      </c>
    </row>
    <row r="30" spans="1:32" x14ac:dyDescent="0.25">
      <c r="B30" s="200" t="s">
        <v>254</v>
      </c>
      <c r="C30" s="200" t="str">
        <f>Sheet1!B2</f>
        <v>Minor &amp; Major</v>
      </c>
      <c r="D30" s="200">
        <f>IF(D3=0,0,D1)</f>
        <v>111</v>
      </c>
      <c r="E30" s="202">
        <f t="shared" ref="E30:K30" si="15">IF(E3=0,0,E1)</f>
        <v>112</v>
      </c>
      <c r="F30" s="202">
        <f t="shared" si="15"/>
        <v>0</v>
      </c>
      <c r="G30" s="202">
        <f t="shared" si="15"/>
        <v>211</v>
      </c>
      <c r="H30" s="202">
        <f t="shared" si="15"/>
        <v>121</v>
      </c>
      <c r="I30" s="202">
        <f t="shared" si="15"/>
        <v>122</v>
      </c>
      <c r="J30" s="202">
        <f t="shared" si="15"/>
        <v>0</v>
      </c>
      <c r="K30" s="202">
        <f t="shared" si="15"/>
        <v>222</v>
      </c>
    </row>
    <row r="31" spans="1:32" x14ac:dyDescent="0.25">
      <c r="B31" s="256" t="s">
        <v>255</v>
      </c>
      <c r="C31" s="256" t="str">
        <f>C30</f>
        <v>Minor &amp; Major</v>
      </c>
      <c r="D31" s="256">
        <f>IF(D4="",0,D11)</f>
        <v>5</v>
      </c>
      <c r="E31" s="256">
        <f t="shared" ref="E31:K31" si="16">IF(E4="",0,E11)</f>
        <v>10</v>
      </c>
      <c r="F31" s="256">
        <f t="shared" si="16"/>
        <v>0</v>
      </c>
      <c r="G31" s="256">
        <f t="shared" si="16"/>
        <v>10</v>
      </c>
      <c r="H31" s="256">
        <f t="shared" si="16"/>
        <v>5</v>
      </c>
      <c r="I31" s="256">
        <f t="shared" si="16"/>
        <v>10</v>
      </c>
      <c r="J31" s="256">
        <f t="shared" si="16"/>
        <v>0</v>
      </c>
      <c r="K31" s="256">
        <f t="shared" si="16"/>
        <v>10</v>
      </c>
      <c r="W31" s="499" t="s">
        <v>469</v>
      </c>
      <c r="X31" s="499"/>
      <c r="Y31" s="499"/>
      <c r="Z31" s="499"/>
      <c r="AA31" s="499"/>
      <c r="AB31" s="499"/>
      <c r="AC31" s="499"/>
      <c r="AD31" s="499"/>
      <c r="AE31" s="499"/>
      <c r="AF31" s="499"/>
    </row>
    <row r="32" spans="1:32" x14ac:dyDescent="0.25">
      <c r="B32" s="200" t="s">
        <v>256</v>
      </c>
      <c r="C32" s="200" t="str">
        <f t="shared" ref="C32:C52" si="17">C31</f>
        <v>Minor &amp; Major</v>
      </c>
      <c r="D32" s="200">
        <f>D12</f>
        <v>15</v>
      </c>
      <c r="E32" s="200">
        <f t="shared" ref="E32:K32" si="18">E12</f>
        <v>36</v>
      </c>
      <c r="F32" s="200">
        <f t="shared" si="18"/>
        <v>0</v>
      </c>
      <c r="G32" s="200">
        <f t="shared" si="18"/>
        <v>24</v>
      </c>
      <c r="H32" s="200">
        <f t="shared" si="18"/>
        <v>15</v>
      </c>
      <c r="I32" s="200">
        <f t="shared" si="18"/>
        <v>42</v>
      </c>
      <c r="J32" s="200">
        <f t="shared" si="18"/>
        <v>0</v>
      </c>
      <c r="K32" s="200">
        <f t="shared" si="18"/>
        <v>19</v>
      </c>
      <c r="W32" s="381" t="s">
        <v>124</v>
      </c>
      <c r="X32" s="381" t="s">
        <v>459</v>
      </c>
      <c r="Y32" s="381" t="s">
        <v>261</v>
      </c>
      <c r="Z32" s="381" t="s">
        <v>464</v>
      </c>
      <c r="AA32" s="381" t="s">
        <v>285</v>
      </c>
      <c r="AB32" s="381" t="s">
        <v>124</v>
      </c>
      <c r="AC32" s="381" t="s">
        <v>465</v>
      </c>
      <c r="AD32" s="381" t="s">
        <v>466</v>
      </c>
      <c r="AE32" s="381" t="s">
        <v>467</v>
      </c>
      <c r="AF32" s="381" t="s">
        <v>468</v>
      </c>
    </row>
    <row r="33" spans="2:32" x14ac:dyDescent="0.25">
      <c r="B33" s="256" t="s">
        <v>257</v>
      </c>
      <c r="C33" s="256" t="str">
        <f t="shared" si="17"/>
        <v>Minor &amp; Major</v>
      </c>
      <c r="D33" s="256">
        <f>IF(D4="",0,D17)</f>
        <v>2.2999999999999998</v>
      </c>
      <c r="E33" s="256">
        <f t="shared" ref="E33:K33" si="19">IF(E4="",0,E17)</f>
        <v>2.2999999999999998</v>
      </c>
      <c r="F33" s="256">
        <f t="shared" si="19"/>
        <v>0</v>
      </c>
      <c r="G33" s="256">
        <f t="shared" si="19"/>
        <v>2</v>
      </c>
      <c r="H33" s="256">
        <f t="shared" si="19"/>
        <v>2.2999999999999998</v>
      </c>
      <c r="I33" s="256">
        <f t="shared" si="19"/>
        <v>2.2999999999999998</v>
      </c>
      <c r="J33" s="256">
        <f t="shared" si="19"/>
        <v>0</v>
      </c>
      <c r="K33" s="256">
        <f t="shared" si="19"/>
        <v>2</v>
      </c>
      <c r="W33" s="200">
        <v>8</v>
      </c>
      <c r="X33" s="304">
        <f>K58</f>
        <v>18.3</v>
      </c>
      <c r="Y33" s="380">
        <f>K56</f>
        <v>3.2</v>
      </c>
      <c r="Z33" s="382">
        <f>K59</f>
        <v>48.5</v>
      </c>
      <c r="AA33" s="65">
        <f>K57</f>
        <v>2.5</v>
      </c>
      <c r="AB33" s="381">
        <v>8</v>
      </c>
      <c r="AC33" s="200">
        <f>K62</f>
        <v>46</v>
      </c>
      <c r="AD33" s="200">
        <f>X33</f>
        <v>18.3</v>
      </c>
      <c r="AE33" s="200">
        <f>Y33</f>
        <v>3.2</v>
      </c>
      <c r="AF33" s="387">
        <f>$C$62-AE33-AD33-AC33</f>
        <v>2.5</v>
      </c>
    </row>
    <row r="34" spans="2:32" x14ac:dyDescent="0.25">
      <c r="B34" s="200" t="s">
        <v>258</v>
      </c>
      <c r="C34" s="200" t="str">
        <f t="shared" si="17"/>
        <v>Minor &amp; Major</v>
      </c>
      <c r="D34" s="200">
        <f>D14</f>
        <v>10</v>
      </c>
      <c r="E34" s="200">
        <f t="shared" ref="E34:K34" si="20">E14</f>
        <v>10</v>
      </c>
      <c r="F34" s="200">
        <f t="shared" si="20"/>
        <v>0</v>
      </c>
      <c r="G34" s="200">
        <f t="shared" si="20"/>
        <v>10</v>
      </c>
      <c r="H34" s="200">
        <f t="shared" si="20"/>
        <v>10</v>
      </c>
      <c r="I34" s="200">
        <f t="shared" si="20"/>
        <v>10</v>
      </c>
      <c r="J34" s="200">
        <f t="shared" si="20"/>
        <v>0</v>
      </c>
      <c r="K34" s="200">
        <f t="shared" si="20"/>
        <v>10</v>
      </c>
      <c r="W34" s="200">
        <v>7</v>
      </c>
      <c r="X34" s="304">
        <f>J58</f>
        <v>0</v>
      </c>
      <c r="Y34" s="380">
        <f>J56</f>
        <v>0</v>
      </c>
      <c r="Z34" s="382">
        <f>J59</f>
        <v>70</v>
      </c>
      <c r="AA34" s="65">
        <f>J57</f>
        <v>0</v>
      </c>
      <c r="AB34" s="381">
        <v>7</v>
      </c>
      <c r="AC34" s="200">
        <f>J62</f>
        <v>46</v>
      </c>
      <c r="AD34" s="381">
        <f t="shared" ref="AD34:AD40" si="21">X34</f>
        <v>0</v>
      </c>
      <c r="AE34" s="381">
        <f t="shared" ref="AE34:AE40" si="22">Y34</f>
        <v>0</v>
      </c>
      <c r="AF34" s="387">
        <f t="shared" ref="AF34:AF40" si="23">$C$62-AE34-AD34-AC34</f>
        <v>24</v>
      </c>
    </row>
    <row r="35" spans="2:32" x14ac:dyDescent="0.25">
      <c r="B35" s="256" t="s">
        <v>259</v>
      </c>
      <c r="C35" s="256" t="str">
        <f t="shared" si="17"/>
        <v>Minor &amp; Major</v>
      </c>
      <c r="D35" s="256">
        <f>D15</f>
        <v>8</v>
      </c>
      <c r="E35" s="256">
        <f t="shared" ref="E35:K35" si="24">E15</f>
        <v>15</v>
      </c>
      <c r="F35" s="256">
        <f t="shared" si="24"/>
        <v>0</v>
      </c>
      <c r="G35" s="256">
        <f t="shared" si="24"/>
        <v>18</v>
      </c>
      <c r="H35" s="256">
        <f t="shared" si="24"/>
        <v>33</v>
      </c>
      <c r="I35" s="256">
        <f t="shared" si="24"/>
        <v>8</v>
      </c>
      <c r="J35" s="256">
        <f t="shared" si="24"/>
        <v>0</v>
      </c>
      <c r="K35" s="256">
        <f t="shared" si="24"/>
        <v>8</v>
      </c>
      <c r="W35" s="200">
        <v>6</v>
      </c>
      <c r="X35" s="304">
        <f>I58</f>
        <v>33.1</v>
      </c>
      <c r="Y35" s="380">
        <f>I56</f>
        <v>3.9</v>
      </c>
      <c r="Z35" s="382">
        <f>I59</f>
        <v>33</v>
      </c>
      <c r="AA35" s="65">
        <f>I57</f>
        <v>0</v>
      </c>
      <c r="AB35" s="381">
        <v>6</v>
      </c>
      <c r="AC35" s="200">
        <f>I62</f>
        <v>9</v>
      </c>
      <c r="AD35" s="381">
        <f t="shared" si="21"/>
        <v>33.1</v>
      </c>
      <c r="AE35" s="381">
        <f t="shared" si="22"/>
        <v>3.9</v>
      </c>
      <c r="AF35" s="387">
        <f t="shared" si="23"/>
        <v>23.999999999999993</v>
      </c>
    </row>
    <row r="36" spans="2:32" x14ac:dyDescent="0.25">
      <c r="B36" s="200" t="s">
        <v>260</v>
      </c>
      <c r="C36" s="200" t="str">
        <f t="shared" si="17"/>
        <v>Minor &amp; Major</v>
      </c>
      <c r="D36" s="200">
        <f>IF(D4="",0,D16)</f>
        <v>0.3</v>
      </c>
      <c r="E36" s="222">
        <f t="shared" ref="E36:K36" si="25">IF(E4="",0,E16)</f>
        <v>0.3</v>
      </c>
      <c r="F36" s="222">
        <f t="shared" si="25"/>
        <v>0</v>
      </c>
      <c r="G36" s="222">
        <f t="shared" si="25"/>
        <v>0</v>
      </c>
      <c r="H36" s="222">
        <f t="shared" si="25"/>
        <v>0.3</v>
      </c>
      <c r="I36" s="222">
        <f t="shared" si="25"/>
        <v>0.3</v>
      </c>
      <c r="J36" s="222">
        <f t="shared" si="25"/>
        <v>0</v>
      </c>
      <c r="K36" s="222">
        <f t="shared" si="25"/>
        <v>0</v>
      </c>
      <c r="W36" s="200">
        <v>5</v>
      </c>
      <c r="X36" s="304">
        <f>H58</f>
        <v>5.0999999999999996</v>
      </c>
      <c r="Y36" s="380">
        <f>H56</f>
        <v>3.9</v>
      </c>
      <c r="Z36" s="382">
        <f>H59</f>
        <v>61</v>
      </c>
      <c r="AA36" s="65">
        <f>H57</f>
        <v>0</v>
      </c>
      <c r="AB36" s="381">
        <v>5</v>
      </c>
      <c r="AC36" s="200">
        <f>H62</f>
        <v>0</v>
      </c>
      <c r="AD36" s="381">
        <f t="shared" si="21"/>
        <v>5.0999999999999996</v>
      </c>
      <c r="AE36" s="381">
        <f t="shared" si="22"/>
        <v>3.9</v>
      </c>
      <c r="AF36" s="387">
        <f t="shared" si="23"/>
        <v>60.999999999999993</v>
      </c>
    </row>
    <row r="37" spans="2:32" x14ac:dyDescent="0.25">
      <c r="B37" s="256" t="s">
        <v>261</v>
      </c>
      <c r="C37" s="256" t="str">
        <f t="shared" si="17"/>
        <v>Minor &amp; Major</v>
      </c>
      <c r="D37" s="256">
        <f>D7</f>
        <v>3.9</v>
      </c>
      <c r="E37" s="256">
        <f t="shared" ref="E37:K37" si="26">E7</f>
        <v>3.9</v>
      </c>
      <c r="F37" s="256">
        <f t="shared" si="26"/>
        <v>0</v>
      </c>
      <c r="G37" s="256">
        <f t="shared" si="26"/>
        <v>3.2</v>
      </c>
      <c r="H37" s="256">
        <f t="shared" si="26"/>
        <v>3.9</v>
      </c>
      <c r="I37" s="256">
        <f t="shared" si="26"/>
        <v>3.9</v>
      </c>
      <c r="J37" s="256">
        <f t="shared" si="26"/>
        <v>0</v>
      </c>
      <c r="K37" s="256">
        <f t="shared" si="26"/>
        <v>3.2</v>
      </c>
      <c r="W37" s="200">
        <v>4</v>
      </c>
      <c r="X37" s="304">
        <f>G58</f>
        <v>18.3</v>
      </c>
      <c r="Y37" s="380">
        <f>G56</f>
        <v>3.2</v>
      </c>
      <c r="Z37" s="382">
        <f>G59</f>
        <v>48.5</v>
      </c>
      <c r="AA37" s="65">
        <f>G57</f>
        <v>2.5</v>
      </c>
      <c r="AB37" s="381">
        <v>4</v>
      </c>
      <c r="AC37" s="200">
        <f>G62</f>
        <v>46</v>
      </c>
      <c r="AD37" s="381">
        <f t="shared" si="21"/>
        <v>18.3</v>
      </c>
      <c r="AE37" s="381">
        <f t="shared" si="22"/>
        <v>3.2</v>
      </c>
      <c r="AF37" s="387">
        <f t="shared" si="23"/>
        <v>2.5</v>
      </c>
    </row>
    <row r="38" spans="2:32" x14ac:dyDescent="0.25">
      <c r="B38" s="200" t="s">
        <v>262</v>
      </c>
      <c r="C38" s="200" t="str">
        <f t="shared" si="17"/>
        <v>Minor &amp; Major</v>
      </c>
      <c r="D38" s="200">
        <f>D8</f>
        <v>0</v>
      </c>
      <c r="E38" s="200">
        <f t="shared" ref="E38:K38" si="27">E8</f>
        <v>0</v>
      </c>
      <c r="F38" s="200">
        <f t="shared" si="27"/>
        <v>0</v>
      </c>
      <c r="G38" s="200">
        <f t="shared" si="27"/>
        <v>2.5</v>
      </c>
      <c r="H38" s="200">
        <f t="shared" si="27"/>
        <v>0</v>
      </c>
      <c r="I38" s="200">
        <f t="shared" si="27"/>
        <v>0</v>
      </c>
      <c r="J38" s="200">
        <f t="shared" si="27"/>
        <v>0</v>
      </c>
      <c r="K38" s="200">
        <f t="shared" si="27"/>
        <v>2.5</v>
      </c>
      <c r="W38" s="200">
        <v>3</v>
      </c>
      <c r="X38" s="304">
        <f>F58</f>
        <v>0</v>
      </c>
      <c r="Y38" s="380">
        <f>F56</f>
        <v>0</v>
      </c>
      <c r="Z38" s="382">
        <f>F59</f>
        <v>70</v>
      </c>
      <c r="AA38" s="65">
        <f>F57</f>
        <v>0</v>
      </c>
      <c r="AB38" s="381">
        <v>3</v>
      </c>
      <c r="AC38" s="200">
        <f>F62</f>
        <v>46</v>
      </c>
      <c r="AD38" s="381">
        <f t="shared" si="21"/>
        <v>0</v>
      </c>
      <c r="AE38" s="381">
        <f t="shared" si="22"/>
        <v>0</v>
      </c>
      <c r="AF38" s="387">
        <f t="shared" si="23"/>
        <v>24</v>
      </c>
    </row>
    <row r="39" spans="2:32" x14ac:dyDescent="0.25">
      <c r="B39" s="256" t="s">
        <v>263</v>
      </c>
      <c r="C39" s="256" t="str">
        <f t="shared" si="17"/>
        <v>Minor &amp; Major</v>
      </c>
      <c r="D39" s="256">
        <v>0</v>
      </c>
      <c r="E39" s="256">
        <f>IF(E9=0,0,1)</f>
        <v>0</v>
      </c>
      <c r="F39" s="256">
        <v>0</v>
      </c>
      <c r="G39" s="256">
        <f>IF(G9=0,0,1)</f>
        <v>0</v>
      </c>
      <c r="H39" s="256">
        <v>0</v>
      </c>
      <c r="I39" s="256">
        <f>IF(I9=0,0,1)</f>
        <v>0</v>
      </c>
      <c r="J39" s="256">
        <v>0</v>
      </c>
      <c r="K39" s="256">
        <f>IF(K9=0,0,1)</f>
        <v>0</v>
      </c>
      <c r="W39" s="200">
        <v>2</v>
      </c>
      <c r="X39" s="304">
        <f>E58</f>
        <v>32.1</v>
      </c>
      <c r="Y39" s="380">
        <f>E56</f>
        <v>3.9</v>
      </c>
      <c r="Z39" s="382">
        <f>E59</f>
        <v>34</v>
      </c>
      <c r="AA39" s="65">
        <f>E57</f>
        <v>0</v>
      </c>
      <c r="AB39" s="381">
        <v>2</v>
      </c>
      <c r="AC39" s="200">
        <f>E62</f>
        <v>10</v>
      </c>
      <c r="AD39" s="381">
        <f t="shared" si="21"/>
        <v>32.1</v>
      </c>
      <c r="AE39" s="381">
        <f t="shared" si="22"/>
        <v>3.9</v>
      </c>
      <c r="AF39" s="387">
        <f t="shared" si="23"/>
        <v>23.999999999999993</v>
      </c>
    </row>
    <row r="40" spans="2:32" x14ac:dyDescent="0.25">
      <c r="B40" s="200" t="s">
        <v>264</v>
      </c>
      <c r="C40" s="200" t="str">
        <f t="shared" si="17"/>
        <v>Minor &amp; Major</v>
      </c>
      <c r="E40" s="200">
        <f>E9</f>
        <v>0</v>
      </c>
      <c r="G40" s="200">
        <f>G9</f>
        <v>0</v>
      </c>
      <c r="I40" s="200">
        <f>I9</f>
        <v>0</v>
      </c>
      <c r="K40" s="200">
        <f>K9</f>
        <v>0</v>
      </c>
      <c r="W40" s="200">
        <v>1</v>
      </c>
      <c r="X40" s="304">
        <f>D58</f>
        <v>6.1</v>
      </c>
      <c r="Y40" s="380">
        <f>D56</f>
        <v>3.9</v>
      </c>
      <c r="Z40" s="382">
        <f>D59</f>
        <v>60</v>
      </c>
      <c r="AA40" s="65">
        <f>D57</f>
        <v>0</v>
      </c>
      <c r="AB40" s="381">
        <v>1</v>
      </c>
      <c r="AC40" s="200">
        <f>D62</f>
        <v>0</v>
      </c>
      <c r="AD40" s="381">
        <f t="shared" si="21"/>
        <v>6.1</v>
      </c>
      <c r="AE40" s="381">
        <f t="shared" si="22"/>
        <v>3.9</v>
      </c>
      <c r="AF40" s="387">
        <f t="shared" si="23"/>
        <v>59.999999999999993</v>
      </c>
    </row>
    <row r="41" spans="2:32" x14ac:dyDescent="0.25">
      <c r="B41" s="256" t="s">
        <v>265</v>
      </c>
      <c r="C41" s="256" t="str">
        <f t="shared" si="17"/>
        <v>Minor &amp; Major</v>
      </c>
      <c r="D41" s="256"/>
      <c r="E41" s="256">
        <f>E10</f>
        <v>0</v>
      </c>
      <c r="F41" s="256"/>
      <c r="G41" s="256">
        <f>G10</f>
        <v>0</v>
      </c>
      <c r="H41" s="256"/>
      <c r="I41" s="256">
        <f>I10</f>
        <v>0</v>
      </c>
      <c r="J41" s="256"/>
      <c r="K41" s="256">
        <f>K10</f>
        <v>0</v>
      </c>
    </row>
    <row r="42" spans="2:32" x14ac:dyDescent="0.25">
      <c r="B42" s="200" t="s">
        <v>266</v>
      </c>
      <c r="C42" s="200" t="str">
        <f t="shared" si="17"/>
        <v>Minor &amp; Major</v>
      </c>
      <c r="E42" s="200">
        <f>IF(E40=0,0,1)</f>
        <v>0</v>
      </c>
      <c r="G42" s="215">
        <f>IF(G40=0,0,1)</f>
        <v>0</v>
      </c>
      <c r="I42" s="215">
        <f>IF(I40=0,0,1)</f>
        <v>0</v>
      </c>
      <c r="K42" s="215">
        <f>IF(K40=0,0,1)</f>
        <v>0</v>
      </c>
      <c r="AD42" s="381"/>
      <c r="AE42" s="381"/>
      <c r="AF42" s="387"/>
    </row>
    <row r="43" spans="2:32" x14ac:dyDescent="0.25">
      <c r="B43" s="256" t="s">
        <v>267</v>
      </c>
      <c r="C43" s="256" t="str">
        <f t="shared" si="17"/>
        <v>Minor &amp; Major</v>
      </c>
      <c r="D43" s="256">
        <f>IF(D4="",0,D18)</f>
        <v>9</v>
      </c>
      <c r="E43" s="256">
        <f t="shared" ref="E43:K43" si="28">IF(E4="",0,E18)</f>
        <v>14</v>
      </c>
      <c r="F43" s="256">
        <f t="shared" si="28"/>
        <v>0</v>
      </c>
      <c r="G43" s="256">
        <f t="shared" si="28"/>
        <v>16</v>
      </c>
      <c r="H43" s="256">
        <f t="shared" si="28"/>
        <v>9</v>
      </c>
      <c r="I43" s="256">
        <f t="shared" si="28"/>
        <v>14</v>
      </c>
      <c r="J43" s="256">
        <f t="shared" si="28"/>
        <v>0</v>
      </c>
      <c r="K43" s="256">
        <f t="shared" si="28"/>
        <v>16</v>
      </c>
      <c r="AD43" s="381"/>
      <c r="AE43" s="381"/>
      <c r="AF43" s="387"/>
    </row>
    <row r="44" spans="2:32" x14ac:dyDescent="0.25">
      <c r="B44" s="200" t="s">
        <v>268</v>
      </c>
      <c r="C44" s="200" t="str">
        <f t="shared" si="17"/>
        <v>Minor &amp; Major</v>
      </c>
      <c r="D44" s="200">
        <v>0</v>
      </c>
      <c r="E44" s="200">
        <f>IF(E3=0,0,1)</f>
        <v>1</v>
      </c>
      <c r="F44" s="200">
        <v>0</v>
      </c>
      <c r="G44" s="200">
        <f>IF(G3=0,0,1)</f>
        <v>1</v>
      </c>
      <c r="H44" s="200">
        <v>0</v>
      </c>
      <c r="I44" s="200">
        <f>IF(I3=0,0,1)</f>
        <v>1</v>
      </c>
      <c r="J44" s="200">
        <v>0</v>
      </c>
      <c r="K44" s="200">
        <f>IF(K3=0,0,1)</f>
        <v>1</v>
      </c>
      <c r="AD44" s="381"/>
      <c r="AE44" s="381"/>
      <c r="AF44" s="387"/>
    </row>
    <row r="45" spans="2:32" x14ac:dyDescent="0.25">
      <c r="B45" s="256" t="s">
        <v>269</v>
      </c>
      <c r="C45" s="256" t="str">
        <f t="shared" si="17"/>
        <v>Minor &amp; Major</v>
      </c>
      <c r="D45" s="256">
        <f>IF(D3=0,0,1)</f>
        <v>1</v>
      </c>
      <c r="E45" s="256">
        <f t="shared" ref="E45:K45" si="29">IF(E3=0,0,1)</f>
        <v>1</v>
      </c>
      <c r="F45" s="256">
        <f t="shared" si="29"/>
        <v>0</v>
      </c>
      <c r="G45" s="256">
        <f t="shared" si="29"/>
        <v>1</v>
      </c>
      <c r="H45" s="256">
        <f t="shared" si="29"/>
        <v>1</v>
      </c>
      <c r="I45" s="256">
        <f t="shared" si="29"/>
        <v>1</v>
      </c>
      <c r="J45" s="256">
        <f t="shared" si="29"/>
        <v>0</v>
      </c>
      <c r="K45" s="256">
        <f t="shared" si="29"/>
        <v>1</v>
      </c>
      <c r="AD45" s="381"/>
      <c r="AE45" s="381"/>
      <c r="AF45" s="387"/>
    </row>
    <row r="46" spans="2:32" x14ac:dyDescent="0.25">
      <c r="B46" s="200" t="s">
        <v>270</v>
      </c>
      <c r="C46" s="200" t="str">
        <f t="shared" si="17"/>
        <v>Minor &amp; Major</v>
      </c>
      <c r="D46" s="200">
        <f>IF(D4="",0,D19)</f>
        <v>0</v>
      </c>
      <c r="E46" s="222">
        <f t="shared" ref="E46:K46" si="30">IF(E4="",0,E19)</f>
        <v>10</v>
      </c>
      <c r="F46" s="222">
        <f t="shared" si="30"/>
        <v>0</v>
      </c>
      <c r="G46" s="222">
        <f t="shared" si="30"/>
        <v>46</v>
      </c>
      <c r="H46" s="222">
        <f t="shared" si="30"/>
        <v>0</v>
      </c>
      <c r="I46" s="222">
        <f t="shared" si="30"/>
        <v>9</v>
      </c>
      <c r="J46" s="222">
        <f t="shared" si="30"/>
        <v>0</v>
      </c>
      <c r="K46" s="222">
        <f t="shared" si="30"/>
        <v>46</v>
      </c>
      <c r="AD46" s="381"/>
      <c r="AE46" s="381"/>
      <c r="AF46" s="387"/>
    </row>
    <row r="47" spans="2:32" x14ac:dyDescent="0.25">
      <c r="B47" s="256" t="s">
        <v>271</v>
      </c>
      <c r="C47" s="256" t="str">
        <f t="shared" si="17"/>
        <v>Minor &amp; Major</v>
      </c>
      <c r="D47" s="256">
        <f>IF(D4="",0,D20)</f>
        <v>10</v>
      </c>
      <c r="E47" s="256">
        <f t="shared" ref="E47:K47" si="31">IF(E4="",0,E20)</f>
        <v>46</v>
      </c>
      <c r="F47" s="256">
        <f t="shared" si="31"/>
        <v>0</v>
      </c>
      <c r="G47" s="256">
        <f t="shared" si="31"/>
        <v>70</v>
      </c>
      <c r="H47" s="256">
        <f t="shared" si="31"/>
        <v>9</v>
      </c>
      <c r="I47" s="256">
        <f t="shared" si="31"/>
        <v>46</v>
      </c>
      <c r="J47" s="256">
        <f t="shared" si="31"/>
        <v>0</v>
      </c>
      <c r="K47" s="256">
        <f t="shared" si="31"/>
        <v>70</v>
      </c>
      <c r="AD47" s="381"/>
      <c r="AE47" s="381"/>
      <c r="AF47" s="387"/>
    </row>
    <row r="48" spans="2:32" x14ac:dyDescent="0.25">
      <c r="B48" s="200" t="s">
        <v>272</v>
      </c>
      <c r="C48" s="200" t="str">
        <f t="shared" si="17"/>
        <v>Minor &amp; Major</v>
      </c>
      <c r="D48" s="200">
        <f>IF(D4="",0,D21)</f>
        <v>6</v>
      </c>
      <c r="E48" s="222">
        <f t="shared" ref="E48:K48" si="32">IF(E4="",0,E21)</f>
        <v>42</v>
      </c>
      <c r="F48" s="222">
        <f t="shared" si="32"/>
        <v>0</v>
      </c>
      <c r="G48" s="222">
        <f t="shared" si="32"/>
        <v>64</v>
      </c>
      <c r="H48" s="222">
        <f t="shared" si="32"/>
        <v>5</v>
      </c>
      <c r="I48" s="222">
        <f t="shared" si="32"/>
        <v>42</v>
      </c>
      <c r="J48" s="222">
        <f t="shared" si="32"/>
        <v>0</v>
      </c>
      <c r="K48" s="222">
        <f t="shared" si="32"/>
        <v>64</v>
      </c>
      <c r="AD48" s="381"/>
      <c r="AE48" s="381"/>
      <c r="AF48" s="387"/>
    </row>
    <row r="49" spans="2:32" x14ac:dyDescent="0.25">
      <c r="B49" s="256" t="s">
        <v>273</v>
      </c>
      <c r="C49" s="256" t="str">
        <f t="shared" si="17"/>
        <v>Minor &amp; Major</v>
      </c>
      <c r="D49" s="256">
        <f>IF(D4="",0,D22)</f>
        <v>6</v>
      </c>
      <c r="E49" s="256">
        <f t="shared" ref="E49:K49" si="33">IF(E4="",0,E22)</f>
        <v>42</v>
      </c>
      <c r="F49" s="256">
        <f t="shared" si="33"/>
        <v>0</v>
      </c>
      <c r="G49" s="256">
        <f t="shared" si="33"/>
        <v>64</v>
      </c>
      <c r="H49" s="256">
        <f t="shared" si="33"/>
        <v>5</v>
      </c>
      <c r="I49" s="256">
        <f t="shared" si="33"/>
        <v>42</v>
      </c>
      <c r="J49" s="256">
        <f t="shared" si="33"/>
        <v>0</v>
      </c>
      <c r="K49" s="256">
        <f t="shared" si="33"/>
        <v>64</v>
      </c>
      <c r="AD49" s="381"/>
      <c r="AE49" s="381"/>
      <c r="AF49" s="387"/>
    </row>
    <row r="50" spans="2:32" x14ac:dyDescent="0.25">
      <c r="B50" s="200" t="s">
        <v>274</v>
      </c>
      <c r="C50" s="200" t="str">
        <f t="shared" si="17"/>
        <v>Minor &amp; Major</v>
      </c>
      <c r="D50" s="200">
        <f>IF(D4="",0,D23)</f>
        <v>0</v>
      </c>
      <c r="E50" s="222">
        <f t="shared" ref="E50:K50" si="34">IF(E4="",0,E23)</f>
        <v>10</v>
      </c>
      <c r="F50" s="222">
        <f t="shared" si="34"/>
        <v>0</v>
      </c>
      <c r="G50" s="222">
        <f t="shared" si="34"/>
        <v>46</v>
      </c>
      <c r="H50" s="222">
        <f t="shared" si="34"/>
        <v>0</v>
      </c>
      <c r="I50" s="222">
        <f t="shared" si="34"/>
        <v>9</v>
      </c>
      <c r="J50" s="222">
        <f t="shared" si="34"/>
        <v>0</v>
      </c>
      <c r="K50" s="222">
        <f t="shared" si="34"/>
        <v>46</v>
      </c>
    </row>
    <row r="51" spans="2:32" x14ac:dyDescent="0.25">
      <c r="B51" s="256" t="s">
        <v>275</v>
      </c>
      <c r="C51" s="256" t="str">
        <f t="shared" si="17"/>
        <v>Minor &amp; Major</v>
      </c>
      <c r="D51" s="256">
        <f>IF(D4="",0,D24)</f>
        <v>6</v>
      </c>
      <c r="E51" s="256">
        <f t="shared" ref="E51:K51" si="35">IF(E4="",0,E24)</f>
        <v>42</v>
      </c>
      <c r="F51" s="256">
        <f t="shared" si="35"/>
        <v>0</v>
      </c>
      <c r="G51" s="256">
        <f t="shared" si="35"/>
        <v>64</v>
      </c>
      <c r="H51" s="256">
        <f t="shared" si="35"/>
        <v>5</v>
      </c>
      <c r="I51" s="256">
        <f t="shared" si="35"/>
        <v>42</v>
      </c>
      <c r="J51" s="256">
        <f t="shared" si="35"/>
        <v>0</v>
      </c>
      <c r="K51" s="256">
        <f t="shared" si="35"/>
        <v>64</v>
      </c>
    </row>
    <row r="52" spans="2:32" x14ac:dyDescent="0.25">
      <c r="B52" s="200" t="s">
        <v>276</v>
      </c>
      <c r="C52" s="200" t="str">
        <f t="shared" si="17"/>
        <v>Minor &amp; Major</v>
      </c>
      <c r="D52" s="200">
        <f>IF(D4="",0,D25)</f>
        <v>6</v>
      </c>
      <c r="E52" s="222">
        <f t="shared" ref="E52:K52" si="36">IF(E4="",0,E25)</f>
        <v>42</v>
      </c>
      <c r="F52" s="222">
        <f t="shared" si="36"/>
        <v>0</v>
      </c>
      <c r="G52" s="222">
        <f t="shared" si="36"/>
        <v>64</v>
      </c>
      <c r="H52" s="222">
        <f t="shared" si="36"/>
        <v>5</v>
      </c>
      <c r="I52" s="222">
        <f t="shared" si="36"/>
        <v>42</v>
      </c>
      <c r="J52" s="222">
        <f t="shared" si="36"/>
        <v>0</v>
      </c>
      <c r="K52" s="222">
        <f t="shared" si="36"/>
        <v>64</v>
      </c>
    </row>
    <row r="54" spans="2:32" x14ac:dyDescent="0.25">
      <c r="D54" s="200">
        <v>1</v>
      </c>
      <c r="E54" s="200">
        <v>2</v>
      </c>
      <c r="F54" s="200">
        <v>3</v>
      </c>
      <c r="G54" s="200">
        <v>4</v>
      </c>
      <c r="H54" s="200">
        <v>5</v>
      </c>
      <c r="I54" s="200">
        <v>6</v>
      </c>
      <c r="J54" s="200">
        <v>7</v>
      </c>
      <c r="K54" s="200">
        <v>8</v>
      </c>
    </row>
    <row r="55" spans="2:32" x14ac:dyDescent="0.25">
      <c r="B55" s="256" t="s">
        <v>321</v>
      </c>
      <c r="C55" s="256"/>
      <c r="D55" s="256">
        <f>D3</f>
        <v>10</v>
      </c>
      <c r="E55" s="256">
        <f t="shared" ref="E55:K55" si="37">E3</f>
        <v>36</v>
      </c>
      <c r="F55" s="256">
        <f t="shared" si="37"/>
        <v>0</v>
      </c>
      <c r="G55" s="256">
        <f t="shared" si="37"/>
        <v>24</v>
      </c>
      <c r="H55" s="256">
        <f t="shared" si="37"/>
        <v>9</v>
      </c>
      <c r="I55" s="256">
        <f t="shared" si="37"/>
        <v>37</v>
      </c>
      <c r="J55" s="256">
        <f t="shared" si="37"/>
        <v>0</v>
      </c>
      <c r="K55" s="256">
        <f t="shared" si="37"/>
        <v>24</v>
      </c>
    </row>
    <row r="56" spans="2:32" x14ac:dyDescent="0.25">
      <c r="B56" s="378" t="s">
        <v>261</v>
      </c>
      <c r="D56" s="380">
        <f>D7</f>
        <v>3.9</v>
      </c>
      <c r="E56" s="380">
        <f t="shared" ref="E56:K56" si="38">E7</f>
        <v>3.9</v>
      </c>
      <c r="F56" s="380">
        <f t="shared" si="38"/>
        <v>0</v>
      </c>
      <c r="G56" s="380">
        <f t="shared" si="38"/>
        <v>3.2</v>
      </c>
      <c r="H56" s="380">
        <f t="shared" si="38"/>
        <v>3.9</v>
      </c>
      <c r="I56" s="380">
        <f t="shared" si="38"/>
        <v>3.9</v>
      </c>
      <c r="J56" s="380">
        <f t="shared" si="38"/>
        <v>0</v>
      </c>
      <c r="K56" s="380">
        <f t="shared" si="38"/>
        <v>3.2</v>
      </c>
    </row>
    <row r="57" spans="2:32" x14ac:dyDescent="0.25">
      <c r="B57" s="256" t="s">
        <v>285</v>
      </c>
      <c r="C57" s="256"/>
      <c r="D57" s="256">
        <f>D8</f>
        <v>0</v>
      </c>
      <c r="E57" s="256">
        <f t="shared" ref="E57:K57" si="39">E8</f>
        <v>0</v>
      </c>
      <c r="F57" s="256">
        <f t="shared" si="39"/>
        <v>0</v>
      </c>
      <c r="G57" s="256">
        <f t="shared" si="39"/>
        <v>2.5</v>
      </c>
      <c r="H57" s="256">
        <f t="shared" si="39"/>
        <v>0</v>
      </c>
      <c r="I57" s="256">
        <f t="shared" si="39"/>
        <v>0</v>
      </c>
      <c r="J57" s="256">
        <f t="shared" si="39"/>
        <v>0</v>
      </c>
      <c r="K57" s="256">
        <f t="shared" si="39"/>
        <v>2.5</v>
      </c>
    </row>
    <row r="58" spans="2:32" x14ac:dyDescent="0.25">
      <c r="B58" s="378" t="s">
        <v>459</v>
      </c>
      <c r="D58" s="304">
        <f>D55-D56-D57</f>
        <v>6.1</v>
      </c>
      <c r="E58" s="304">
        <f t="shared" ref="E58:K58" si="40">E55-E56-E57</f>
        <v>32.1</v>
      </c>
      <c r="F58" s="304">
        <f t="shared" si="40"/>
        <v>0</v>
      </c>
      <c r="G58" s="304">
        <f t="shared" si="40"/>
        <v>18.3</v>
      </c>
      <c r="H58" s="304">
        <f t="shared" si="40"/>
        <v>5.0999999999999996</v>
      </c>
      <c r="I58" s="304">
        <f t="shared" si="40"/>
        <v>33.1</v>
      </c>
      <c r="J58" s="304">
        <f t="shared" si="40"/>
        <v>0</v>
      </c>
      <c r="K58" s="304">
        <f t="shared" si="40"/>
        <v>18.3</v>
      </c>
    </row>
    <row r="59" spans="2:32" s="378" customFormat="1" x14ac:dyDescent="0.25">
      <c r="B59" s="381" t="s">
        <v>464</v>
      </c>
      <c r="D59" s="378">
        <f>$C$62-D55+D57</f>
        <v>60</v>
      </c>
      <c r="E59" s="381">
        <f t="shared" ref="E59:K59" si="41">$C$62-E55+E57</f>
        <v>34</v>
      </c>
      <c r="F59" s="381">
        <f t="shared" si="41"/>
        <v>70</v>
      </c>
      <c r="G59" s="381">
        <f t="shared" si="41"/>
        <v>48.5</v>
      </c>
      <c r="H59" s="381">
        <f t="shared" si="41"/>
        <v>61</v>
      </c>
      <c r="I59" s="381">
        <f t="shared" si="41"/>
        <v>33</v>
      </c>
      <c r="J59" s="381">
        <f t="shared" si="41"/>
        <v>70</v>
      </c>
      <c r="K59" s="381">
        <f t="shared" si="41"/>
        <v>48.5</v>
      </c>
      <c r="AA59" s="381"/>
    </row>
    <row r="60" spans="2:32" s="381" customFormat="1" x14ac:dyDescent="0.25"/>
    <row r="61" spans="2:32" x14ac:dyDescent="0.25">
      <c r="C61" s="381" t="s">
        <v>144</v>
      </c>
      <c r="D61" s="337">
        <v>1</v>
      </c>
      <c r="E61" s="337">
        <v>2</v>
      </c>
      <c r="F61" s="337">
        <v>3</v>
      </c>
      <c r="G61" s="337">
        <v>4</v>
      </c>
      <c r="H61" s="336">
        <v>5</v>
      </c>
      <c r="I61" s="337">
        <v>6</v>
      </c>
      <c r="J61" s="337">
        <v>7</v>
      </c>
      <c r="K61" s="337">
        <v>8</v>
      </c>
    </row>
    <row r="62" spans="2:32" x14ac:dyDescent="0.25">
      <c r="B62" s="256" t="s">
        <v>460</v>
      </c>
      <c r="C62" s="386">
        <f>'Phase calculation'!C25</f>
        <v>70</v>
      </c>
      <c r="D62" s="304">
        <v>0</v>
      </c>
      <c r="E62" s="304">
        <f>D65</f>
        <v>10</v>
      </c>
      <c r="F62" s="304">
        <f>E65</f>
        <v>46</v>
      </c>
      <c r="G62" s="304">
        <f>F65</f>
        <v>46</v>
      </c>
      <c r="H62" s="383">
        <v>0</v>
      </c>
      <c r="I62" s="344">
        <f>H65</f>
        <v>9</v>
      </c>
      <c r="J62" s="344">
        <f>I65</f>
        <v>46</v>
      </c>
      <c r="K62" s="344">
        <f>J65</f>
        <v>46</v>
      </c>
    </row>
    <row r="63" spans="2:32" x14ac:dyDescent="0.25">
      <c r="B63" s="378" t="s">
        <v>461</v>
      </c>
      <c r="D63" s="380">
        <f t="shared" ref="D63:K63" si="42">D62+D58</f>
        <v>6.1</v>
      </c>
      <c r="E63" s="380">
        <f t="shared" si="42"/>
        <v>42.1</v>
      </c>
      <c r="F63" s="380">
        <f t="shared" si="42"/>
        <v>46</v>
      </c>
      <c r="G63" s="380">
        <f t="shared" si="42"/>
        <v>64.3</v>
      </c>
      <c r="H63" s="384">
        <f t="shared" si="42"/>
        <v>5.0999999999999996</v>
      </c>
      <c r="I63" s="167">
        <f t="shared" si="42"/>
        <v>42.1</v>
      </c>
      <c r="J63" s="167">
        <f t="shared" si="42"/>
        <v>46</v>
      </c>
      <c r="K63" s="167">
        <f t="shared" si="42"/>
        <v>64.3</v>
      </c>
    </row>
    <row r="64" spans="2:32" x14ac:dyDescent="0.25">
      <c r="B64" s="256" t="s">
        <v>462</v>
      </c>
      <c r="C64" s="256"/>
      <c r="D64" s="382">
        <f t="shared" ref="D64:K65" si="43">D63+D56</f>
        <v>10</v>
      </c>
      <c r="E64" s="382">
        <f t="shared" si="43"/>
        <v>46</v>
      </c>
      <c r="F64" s="382">
        <f t="shared" si="43"/>
        <v>46</v>
      </c>
      <c r="G64" s="382">
        <f t="shared" si="43"/>
        <v>67.5</v>
      </c>
      <c r="H64" s="385">
        <f t="shared" si="43"/>
        <v>9</v>
      </c>
      <c r="I64" s="219">
        <f t="shared" si="43"/>
        <v>46</v>
      </c>
      <c r="J64" s="219">
        <f t="shared" si="43"/>
        <v>46</v>
      </c>
      <c r="K64" s="219">
        <f t="shared" si="43"/>
        <v>67.5</v>
      </c>
    </row>
    <row r="65" spans="2:11" x14ac:dyDescent="0.25">
      <c r="B65" s="378" t="s">
        <v>463</v>
      </c>
      <c r="D65" s="200">
        <f t="shared" si="43"/>
        <v>10</v>
      </c>
      <c r="E65" s="200">
        <f t="shared" si="43"/>
        <v>46</v>
      </c>
      <c r="F65" s="200">
        <f t="shared" si="43"/>
        <v>46</v>
      </c>
      <c r="G65" s="200">
        <f t="shared" si="43"/>
        <v>70</v>
      </c>
      <c r="H65" s="335">
        <f t="shared" si="43"/>
        <v>9</v>
      </c>
      <c r="I65" s="168">
        <f t="shared" si="43"/>
        <v>46</v>
      </c>
      <c r="J65" s="168">
        <f t="shared" si="43"/>
        <v>46</v>
      </c>
      <c r="K65" s="168">
        <f t="shared" si="43"/>
        <v>70</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8"/>
  <sheetViews>
    <sheetView showGridLines="0" zoomScale="60" zoomScaleNormal="60" workbookViewId="0">
      <selection activeCell="I67" sqref="I67:K69"/>
    </sheetView>
  </sheetViews>
  <sheetFormatPr defaultRowHeight="15" x14ac:dyDescent="0.25"/>
  <cols>
    <col min="1" max="5" width="10.7109375" customWidth="1"/>
    <col min="6" max="6" width="13.85546875" bestFit="1" customWidth="1"/>
    <col min="7" max="18" width="10.7109375" customWidth="1"/>
    <col min="19" max="28" width="9.140625" customWidth="1"/>
    <col min="30" max="37" width="0" hidden="1" customWidth="1"/>
    <col min="49" max="50" width="0" hidden="1" customWidth="1"/>
  </cols>
  <sheetData>
    <row r="1" spans="1:37" x14ac:dyDescent="0.25">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25">
      <c r="B2" s="535" t="s">
        <v>216</v>
      </c>
      <c r="C2" s="535"/>
      <c r="D2" s="535"/>
      <c r="E2" s="535"/>
      <c r="F2" s="535"/>
      <c r="G2" s="535"/>
      <c r="H2" s="535"/>
      <c r="I2" s="116"/>
      <c r="L2" s="537" t="s">
        <v>217</v>
      </c>
      <c r="M2" s="537"/>
      <c r="N2" s="537"/>
      <c r="O2" s="537"/>
      <c r="P2" s="537"/>
      <c r="Q2" s="537"/>
      <c r="R2" s="116"/>
      <c r="U2" s="535" t="s">
        <v>240</v>
      </c>
      <c r="V2" s="535"/>
      <c r="W2" s="535"/>
      <c r="X2" s="535"/>
      <c r="Y2" s="535"/>
      <c r="Z2" s="535"/>
      <c r="AA2" s="535"/>
      <c r="AD2" s="91">
        <f>'Phase designation'!B27</f>
        <v>5</v>
      </c>
      <c r="AE2" s="91">
        <f>'Phase designation'!C27</f>
        <v>2</v>
      </c>
      <c r="AF2" s="91">
        <f>'Phase designation'!D27</f>
        <v>1</v>
      </c>
      <c r="AG2" s="91">
        <f>'Phase designation'!E27</f>
        <v>6</v>
      </c>
      <c r="AH2" s="91">
        <f>'Phase designation'!F27</f>
        <v>0</v>
      </c>
      <c r="AI2" s="91">
        <f>'Phase designation'!G27</f>
        <v>8</v>
      </c>
      <c r="AJ2" s="91">
        <f>'Phase designation'!H27</f>
        <v>0</v>
      </c>
      <c r="AK2" s="91">
        <f>'Phase designation'!I27</f>
        <v>4</v>
      </c>
    </row>
    <row r="3" spans="1:37" x14ac:dyDescent="0.25">
      <c r="D3" s="536" t="str">
        <f>Sheet1!J38</f>
        <v>Minor</v>
      </c>
      <c r="E3" s="536"/>
      <c r="F3" s="536"/>
      <c r="N3" s="536" t="str">
        <f>D3</f>
        <v>Minor</v>
      </c>
      <c r="O3" s="536"/>
      <c r="P3" s="536"/>
      <c r="AD3" s="91">
        <f>'Phase designation'!B28</f>
        <v>0</v>
      </c>
      <c r="AE3" s="91">
        <f>'Phase designation'!C28</f>
        <v>0</v>
      </c>
      <c r="AF3" s="91">
        <f>'Phase designation'!D28</f>
        <v>0</v>
      </c>
      <c r="AG3" s="91">
        <f>'Phase designation'!E28</f>
        <v>0</v>
      </c>
      <c r="AH3" s="91">
        <f>'Phase designation'!F28</f>
        <v>8</v>
      </c>
      <c r="AI3" s="91">
        <f>'Phase designation'!G28</f>
        <v>0</v>
      </c>
      <c r="AJ3" s="91">
        <f>'Phase designation'!H28</f>
        <v>4</v>
      </c>
      <c r="AK3" s="91">
        <f>'Phase designation'!I28</f>
        <v>0</v>
      </c>
    </row>
    <row r="4" spans="1:37" x14ac:dyDescent="0.25">
      <c r="C4" s="5"/>
      <c r="D4" s="117">
        <f>IF(Z4=0,0,Sheet1!K4+Sheet1!AE4+Sheet1!AH4)</f>
        <v>100</v>
      </c>
      <c r="E4" s="117">
        <f>IF(Z4=0,0,Sheet1!J4+Sheet1!AD4+Sheet1!AG4)</f>
        <v>850</v>
      </c>
      <c r="F4" s="117">
        <f>IF(Z4=0,0,Sheet1!I4+Sheet1!AC4+Sheet1!AF4)</f>
        <v>100</v>
      </c>
      <c r="G4" s="5"/>
      <c r="H4" s="5"/>
      <c r="I4" s="5"/>
      <c r="L4" s="5"/>
      <c r="M4" s="5"/>
      <c r="N4" s="307">
        <f>'Phase calculation'!N33</f>
        <v>4</v>
      </c>
      <c r="O4" s="130">
        <f>IF(X4=0,"N/A",AK5)</f>
        <v>4</v>
      </c>
      <c r="P4" s="130">
        <f>IF(Y4=0,"N/A",AJ5)</f>
        <v>4</v>
      </c>
      <c r="Q4" s="5"/>
      <c r="R4" s="5"/>
      <c r="V4" s="5"/>
      <c r="W4" s="117">
        <f>Sheet1!K5+Sheet1!AE5+Sheet1!AH5</f>
        <v>1</v>
      </c>
      <c r="X4" s="117">
        <f>Sheet1!J5+Sheet1!AD5+Sheet1!AG5</f>
        <v>2</v>
      </c>
      <c r="Y4" s="117">
        <f>Sheet1!I5+Sheet1!AC5+Sheet1!AF5</f>
        <v>1</v>
      </c>
      <c r="Z4" s="186">
        <f>SUM(W4:Y4)+X17</f>
        <v>6</v>
      </c>
      <c r="AA4" s="5"/>
    </row>
    <row r="5" spans="1:37" x14ac:dyDescent="0.25">
      <c r="C5" s="5"/>
      <c r="D5" s="5"/>
      <c r="E5" s="5"/>
      <c r="F5" s="5"/>
      <c r="G5" s="5"/>
      <c r="H5" s="5"/>
      <c r="I5" s="5"/>
      <c r="L5" s="5"/>
      <c r="M5" s="5"/>
      <c r="N5" s="5"/>
      <c r="O5" s="5"/>
      <c r="P5" s="5"/>
      <c r="Q5" s="5"/>
      <c r="R5" s="5"/>
      <c r="T5" s="242"/>
      <c r="V5" s="5"/>
      <c r="W5" s="5"/>
      <c r="X5" s="5"/>
      <c r="Y5" s="5"/>
      <c r="Z5" s="5"/>
      <c r="AA5" s="5"/>
      <c r="AD5" s="91" t="str">
        <f>IF(AD2=0,AD3,AD2&amp;"+"&amp;AD3)</f>
        <v>5+0</v>
      </c>
      <c r="AE5" s="91">
        <f>AE2</f>
        <v>2</v>
      </c>
      <c r="AF5" s="91" t="str">
        <f>IF(AF2=0,AF3,AF2&amp;"+"&amp;AF3)</f>
        <v>1+0</v>
      </c>
      <c r="AG5" s="91">
        <f>AG2</f>
        <v>6</v>
      </c>
      <c r="AH5" s="91">
        <f>IF(AH2=0,AH3,AH2&amp;"+"&amp;AH3)</f>
        <v>8</v>
      </c>
      <c r="AI5" s="91">
        <f>AI2</f>
        <v>8</v>
      </c>
      <c r="AJ5" s="91">
        <f>IF(AJ2=0,AJ3,AJ2&amp;"+"&amp;AJ3)</f>
        <v>4</v>
      </c>
      <c r="AK5" s="91">
        <f>AK2</f>
        <v>4</v>
      </c>
    </row>
    <row r="6" spans="1:37" x14ac:dyDescent="0.25">
      <c r="C6" s="5"/>
      <c r="D6" s="5"/>
      <c r="E6" s="5"/>
      <c r="F6" s="5"/>
      <c r="G6" s="5"/>
      <c r="H6" s="5"/>
      <c r="I6" s="17" t="s">
        <v>76</v>
      </c>
      <c r="L6" s="5"/>
      <c r="M6" s="5"/>
      <c r="N6" s="5"/>
      <c r="O6" s="5"/>
      <c r="P6" s="5"/>
      <c r="Q6" s="5"/>
      <c r="S6" s="17" t="s">
        <v>76</v>
      </c>
      <c r="T6" s="242"/>
      <c r="V6" s="5"/>
      <c r="W6" s="5"/>
      <c r="X6" s="5"/>
      <c r="Y6" s="5"/>
      <c r="Z6" s="5"/>
      <c r="AA6" s="5"/>
    </row>
    <row r="7" spans="1:37" x14ac:dyDescent="0.25">
      <c r="C7" s="5"/>
      <c r="D7" s="5"/>
      <c r="E7" s="5"/>
      <c r="F7" s="5"/>
      <c r="G7" s="5"/>
      <c r="H7" s="5"/>
      <c r="I7" s="5"/>
      <c r="L7" s="5"/>
      <c r="M7" s="5"/>
      <c r="N7" s="5"/>
      <c r="O7" s="5"/>
      <c r="P7" s="5"/>
      <c r="Q7" s="5"/>
      <c r="R7" s="5"/>
      <c r="T7" s="242"/>
      <c r="V7" s="5"/>
      <c r="W7" s="5"/>
      <c r="X7" s="5"/>
      <c r="Y7" s="5"/>
      <c r="Z7" s="5"/>
      <c r="AA7" s="5"/>
    </row>
    <row r="8" spans="1:37" x14ac:dyDescent="0.25">
      <c r="C8" s="5"/>
      <c r="D8" s="5"/>
      <c r="E8" s="5"/>
      <c r="F8" s="5"/>
      <c r="G8" s="5"/>
      <c r="H8" s="5"/>
      <c r="I8" s="5"/>
      <c r="L8" s="5"/>
      <c r="M8" s="5"/>
      <c r="N8" s="5"/>
      <c r="O8" s="5"/>
      <c r="P8" s="5"/>
      <c r="Q8" s="5"/>
      <c r="R8" s="5"/>
      <c r="V8" s="5"/>
      <c r="W8" s="5"/>
      <c r="X8" s="5"/>
      <c r="Y8" s="5"/>
      <c r="Z8" s="5"/>
      <c r="AA8" s="5"/>
    </row>
    <row r="9" spans="1:37" x14ac:dyDescent="0.25">
      <c r="B9" s="94">
        <f>IF(U15=0,0,Sheet1!N4)</f>
        <v>200</v>
      </c>
      <c r="C9" s="83"/>
      <c r="D9" s="5"/>
      <c r="E9" s="5"/>
      <c r="F9" s="5"/>
      <c r="G9" s="5"/>
      <c r="H9" s="118">
        <f>IF(AA15=0,0,Sheet1!U4)</f>
        <v>120</v>
      </c>
      <c r="I9" s="5"/>
      <c r="L9" s="131" t="str">
        <f>IF(U9=0,"N/A",AD5)</f>
        <v>5+0</v>
      </c>
      <c r="M9" s="5"/>
      <c r="N9" s="5"/>
      <c r="O9" s="5"/>
      <c r="P9" s="5"/>
      <c r="R9" s="306">
        <f>'Phase calculation'!H33</f>
        <v>6</v>
      </c>
      <c r="T9" s="242"/>
      <c r="U9" s="94">
        <f>Sheet1!N5</f>
        <v>2</v>
      </c>
      <c r="V9" s="83"/>
      <c r="W9" s="5"/>
      <c r="X9" s="5"/>
      <c r="Y9" s="5"/>
      <c r="Z9" s="5"/>
      <c r="AA9" s="118">
        <f>Sheet1!U5</f>
        <v>1</v>
      </c>
    </row>
    <row r="10" spans="1:37" x14ac:dyDescent="0.25">
      <c r="C10" s="81"/>
      <c r="D10" s="11"/>
      <c r="E10" s="11"/>
      <c r="F10" s="11"/>
      <c r="G10" s="11"/>
      <c r="H10" s="103"/>
      <c r="I10" s="10"/>
      <c r="L10" s="5"/>
      <c r="M10" s="11"/>
      <c r="N10" s="11"/>
      <c r="O10" s="11"/>
      <c r="P10" s="11"/>
      <c r="V10" s="81"/>
      <c r="W10" s="11"/>
      <c r="X10" s="11"/>
      <c r="Y10" s="11"/>
      <c r="Z10" s="11"/>
      <c r="AA10" s="103"/>
    </row>
    <row r="11" spans="1:37" x14ac:dyDescent="0.25">
      <c r="A11" s="206" t="str">
        <f>Sheet1!O38</f>
        <v>Major</v>
      </c>
      <c r="B11" s="94">
        <f>IF(U15=0,0,Sheet1!O4)</f>
        <v>1950</v>
      </c>
      <c r="C11" s="81"/>
      <c r="D11" s="26"/>
      <c r="E11" s="12" t="str">
        <f>Sheet1!B2</f>
        <v>Minor &amp; Major</v>
      </c>
      <c r="F11" s="11"/>
      <c r="G11" s="11"/>
      <c r="H11" s="119">
        <f>IF(AA15=0,0,Sheet1!T4)</f>
        <v>2200</v>
      </c>
      <c r="I11" s="205" t="str">
        <f>Sheet1!T38</f>
        <v>Major</v>
      </c>
      <c r="K11" s="206" t="str">
        <f>A11</f>
        <v>Major</v>
      </c>
      <c r="L11" s="131">
        <f>IF(U11=0,"N/A",AE5)</f>
        <v>2</v>
      </c>
      <c r="M11" s="26"/>
      <c r="N11" s="11"/>
      <c r="O11" s="11"/>
      <c r="P11" s="11"/>
      <c r="R11" s="134">
        <f>IF(AA11=0,"N/A",AG5)</f>
        <v>6</v>
      </c>
      <c r="S11" s="205" t="str">
        <f>I11</f>
        <v>Major</v>
      </c>
      <c r="U11" s="94">
        <f>Sheet1!O5</f>
        <v>3</v>
      </c>
      <c r="V11" s="81"/>
      <c r="W11" s="26"/>
      <c r="X11" s="11"/>
      <c r="Y11" s="11"/>
      <c r="Z11" s="11"/>
      <c r="AA11" s="119">
        <f>Sheet1!T5</f>
        <v>3</v>
      </c>
    </row>
    <row r="12" spans="1:37" x14ac:dyDescent="0.25">
      <c r="C12" s="5"/>
      <c r="D12" s="30"/>
      <c r="E12" s="15"/>
      <c r="F12" s="15"/>
      <c r="G12" s="15"/>
      <c r="H12" s="120"/>
      <c r="I12" s="14"/>
      <c r="L12" s="5"/>
      <c r="M12" s="30"/>
      <c r="N12" s="15"/>
      <c r="O12" s="15"/>
      <c r="P12" s="15"/>
      <c r="R12" s="24"/>
      <c r="S12" s="10"/>
      <c r="V12" s="5"/>
      <c r="W12" s="30"/>
      <c r="X12" s="15"/>
      <c r="Y12" s="15"/>
      <c r="Z12" s="15"/>
      <c r="AA12" s="120"/>
    </row>
    <row r="13" spans="1:37" x14ac:dyDescent="0.25">
      <c r="B13" s="94">
        <f>IF(U15=0,0,Sheet1!P4)</f>
        <v>100</v>
      </c>
      <c r="C13" s="5"/>
      <c r="D13" s="31"/>
      <c r="E13" s="32"/>
      <c r="F13" s="32"/>
      <c r="G13" s="33"/>
      <c r="H13" s="121">
        <f>IF(AA15=0,0,Sheet1!S4)</f>
        <v>250</v>
      </c>
      <c r="I13" s="16"/>
      <c r="L13" s="305">
        <f>'Phase calculation'!E33</f>
        <v>2</v>
      </c>
      <c r="M13" s="31"/>
      <c r="N13" s="32"/>
      <c r="O13" s="32"/>
      <c r="P13" s="33"/>
      <c r="R13" s="135" t="str">
        <f>IF(AA13=0,"N/A",AF5)</f>
        <v>1+0</v>
      </c>
      <c r="U13" s="94">
        <f>Sheet1!P5</f>
        <v>1</v>
      </c>
      <c r="V13" s="5"/>
      <c r="W13" s="31"/>
      <c r="X13" s="32"/>
      <c r="Y13" s="32"/>
      <c r="Z13" s="33"/>
      <c r="AA13" s="121">
        <f>Sheet1!S5</f>
        <v>2</v>
      </c>
    </row>
    <row r="14" spans="1:37" x14ac:dyDescent="0.25">
      <c r="C14" s="5"/>
      <c r="D14" s="34"/>
      <c r="E14" s="15"/>
      <c r="F14" s="15"/>
      <c r="G14" s="15"/>
      <c r="H14" s="90"/>
      <c r="I14" s="90"/>
      <c r="L14" s="5"/>
      <c r="M14" s="34"/>
      <c r="N14" s="15"/>
      <c r="O14" s="15"/>
      <c r="P14" s="15"/>
      <c r="Q14" s="90"/>
      <c r="R14" s="90"/>
      <c r="V14" s="5"/>
      <c r="W14" s="34"/>
      <c r="X14" s="15"/>
      <c r="Y14" s="15"/>
      <c r="Z14" s="15"/>
      <c r="AA14" s="165"/>
    </row>
    <row r="15" spans="1:37" x14ac:dyDescent="0.25">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9</v>
      </c>
    </row>
    <row r="16" spans="1:37" x14ac:dyDescent="0.25">
      <c r="C16" s="5"/>
      <c r="D16" s="23"/>
      <c r="E16" s="25"/>
      <c r="F16" s="29"/>
      <c r="G16" s="15"/>
      <c r="H16" s="15"/>
      <c r="I16" s="15"/>
      <c r="L16" s="5"/>
      <c r="M16" s="23"/>
      <c r="P16" s="15"/>
      <c r="Q16" s="15"/>
      <c r="R16" s="15"/>
      <c r="V16" s="5"/>
      <c r="W16" s="23"/>
      <c r="X16" s="25"/>
      <c r="Y16" s="29"/>
      <c r="Z16" s="15"/>
      <c r="AA16" s="15"/>
    </row>
    <row r="17" spans="1:26" x14ac:dyDescent="0.25">
      <c r="D17" s="122">
        <f>IF(Z17=0,0,Sheet1!D4+Sheet1!Z4+Sheet1!W4)</f>
        <v>75</v>
      </c>
      <c r="E17" s="122">
        <f>IF(Z17=0,0,Sheet1!E4+Sheet1!X4+Sheet1!AA4)</f>
        <v>650</v>
      </c>
      <c r="F17" s="122">
        <f>IF(Z17=0,0,Sheet1!F4+Sheet1!Y4+Sheet1!AB4)</f>
        <v>60</v>
      </c>
      <c r="N17" s="132">
        <f>IF(W17=0,"N/A",AH5)</f>
        <v>8</v>
      </c>
      <c r="O17" s="133">
        <f>IF(X17=0,"N/A",AI5)</f>
        <v>8</v>
      </c>
      <c r="P17" s="307">
        <f>'Phase calculation'!K33</f>
        <v>8</v>
      </c>
      <c r="W17" s="122">
        <f>Sheet1!D5+Sheet1!W5+Sheet1!Z5</f>
        <v>1</v>
      </c>
      <c r="X17" s="122">
        <f>Sheet1!E5+Sheet1!X5+Sheet1!AA5</f>
        <v>2</v>
      </c>
      <c r="Y17" s="122">
        <f>Sheet1!F5+Sheet1!Y5+Sheet1!AB5</f>
        <v>1</v>
      </c>
      <c r="Z17" s="185">
        <f>SUM(W17:Y17)+X4</f>
        <v>6</v>
      </c>
    </row>
    <row r="18" spans="1:26" x14ac:dyDescent="0.25">
      <c r="D18" s="536" t="str">
        <f>Sheet1!E38</f>
        <v>Minor</v>
      </c>
      <c r="E18" s="536"/>
      <c r="F18" s="536"/>
      <c r="N18" s="536" t="str">
        <f>D18</f>
        <v>Minor</v>
      </c>
      <c r="O18" s="536"/>
      <c r="P18" s="536"/>
    </row>
    <row r="20" spans="1:26" x14ac:dyDescent="0.25">
      <c r="B20" s="538" t="s">
        <v>215</v>
      </c>
      <c r="C20" s="538"/>
      <c r="D20" s="538"/>
      <c r="E20" s="538"/>
      <c r="F20" s="538"/>
      <c r="G20" s="538"/>
      <c r="H20" s="116"/>
      <c r="L20" s="498" t="s">
        <v>214</v>
      </c>
      <c r="M20" s="498"/>
      <c r="N20" s="498"/>
      <c r="O20" s="498"/>
      <c r="P20" s="498"/>
      <c r="Q20" s="498"/>
    </row>
    <row r="21" spans="1:26" x14ac:dyDescent="0.25">
      <c r="D21" s="536" t="str">
        <f>D3</f>
        <v>Minor</v>
      </c>
      <c r="E21" s="536"/>
      <c r="F21" s="536"/>
      <c r="N21" s="536" t="str">
        <f>D3</f>
        <v>Minor</v>
      </c>
      <c r="O21" s="536"/>
      <c r="P21" s="536"/>
    </row>
    <row r="22" spans="1:26" x14ac:dyDescent="0.25">
      <c r="B22" s="5"/>
      <c r="C22" s="5"/>
      <c r="D22" s="304">
        <f>'Phase calculation'!N34</f>
        <v>24</v>
      </c>
      <c r="E22" s="79">
        <f>IF(X4=0,0,'Phase calculation'!M34)</f>
        <v>24</v>
      </c>
      <c r="F22" s="79">
        <f>IF(Z17=0,'Phase calculation'!M34,'Phase calculation'!L34)</f>
        <v>0</v>
      </c>
      <c r="G22" s="5"/>
      <c r="H22" s="5"/>
      <c r="I22" s="5"/>
      <c r="L22" s="5"/>
      <c r="M22" s="5"/>
      <c r="N22" s="245">
        <f>'Phase calculation'!N41</f>
        <v>437</v>
      </c>
      <c r="O22" s="92">
        <f>IF(X4=0,"N/A",'Phase calculation'!M41)</f>
        <v>874</v>
      </c>
      <c r="P22" s="92">
        <f>IF(Y4=0,"N/A",'Phase calculation'!L41)</f>
        <v>123</v>
      </c>
      <c r="Q22" s="5"/>
    </row>
    <row r="23" spans="1:26" x14ac:dyDescent="0.25">
      <c r="B23" s="5"/>
      <c r="C23" s="5"/>
      <c r="D23" s="5"/>
      <c r="E23" s="5"/>
      <c r="G23" s="5"/>
      <c r="H23" s="5"/>
      <c r="I23" s="5"/>
      <c r="L23" s="5"/>
      <c r="M23" s="5"/>
      <c r="N23" s="5"/>
      <c r="O23" s="5"/>
      <c r="P23" s="5"/>
      <c r="Q23" s="5"/>
    </row>
    <row r="24" spans="1:26" x14ac:dyDescent="0.25">
      <c r="B24" s="5"/>
      <c r="C24" s="5"/>
      <c r="D24" s="5"/>
      <c r="E24" s="5"/>
      <c r="G24" s="5"/>
      <c r="H24" s="5"/>
      <c r="I24" s="17" t="s">
        <v>76</v>
      </c>
      <c r="L24" s="5"/>
      <c r="M24" s="5"/>
      <c r="N24" s="5"/>
      <c r="O24" s="5"/>
      <c r="P24" s="5"/>
      <c r="Q24" s="5"/>
      <c r="S24" s="17" t="s">
        <v>76</v>
      </c>
    </row>
    <row r="25" spans="1:26" x14ac:dyDescent="0.25">
      <c r="B25" s="5"/>
      <c r="C25" s="5"/>
      <c r="D25" s="5"/>
      <c r="E25" s="5"/>
      <c r="G25" s="5"/>
      <c r="H25" s="5"/>
      <c r="I25" s="5"/>
      <c r="L25" s="5"/>
      <c r="M25" s="5"/>
      <c r="N25" s="5"/>
      <c r="O25" s="5"/>
      <c r="P25" s="5"/>
      <c r="Q25" s="5"/>
    </row>
    <row r="26" spans="1:26" x14ac:dyDescent="0.25">
      <c r="B26" s="5"/>
      <c r="C26" s="5"/>
      <c r="D26" s="5"/>
      <c r="E26" s="5"/>
      <c r="G26" s="5"/>
      <c r="H26" s="5"/>
      <c r="I26" s="5"/>
      <c r="L26" s="5"/>
      <c r="M26" s="5"/>
      <c r="N26" s="5"/>
      <c r="O26" s="5"/>
      <c r="P26" s="5"/>
      <c r="Q26" s="5"/>
    </row>
    <row r="27" spans="1:26" x14ac:dyDescent="0.25">
      <c r="B27" s="123">
        <f>IF(AA15=0,'Phase calculation'!D34,'Phase calculation'!C34)</f>
        <v>9</v>
      </c>
      <c r="C27" s="5"/>
      <c r="E27" s="129"/>
      <c r="G27" s="5"/>
      <c r="H27" s="125">
        <f>'Phase calculation'!H34</f>
        <v>37</v>
      </c>
      <c r="L27" s="44">
        <f>IF(U9=0,"N/A",'Phase calculation'!C41)</f>
        <v>699</v>
      </c>
      <c r="M27" s="5"/>
      <c r="N27" s="129"/>
      <c r="O27" s="129"/>
      <c r="P27" s="5"/>
      <c r="R27" s="308">
        <f>'Phase calculation'!H41</f>
        <v>721</v>
      </c>
    </row>
    <row r="28" spans="1:26" x14ac:dyDescent="0.25">
      <c r="B28" s="5"/>
      <c r="C28" s="11"/>
      <c r="D28" s="129"/>
      <c r="E28" s="540" t="str">
        <f>IF(E22+F22+H27+H29+E35+D35+B29+B27=0,0,"C = "&amp;'Phase calculation'!C25&amp;" s")</f>
        <v>C = 70 s</v>
      </c>
      <c r="G28" s="11"/>
      <c r="H28" s="24"/>
      <c r="I28" s="10"/>
      <c r="L28" s="192"/>
      <c r="M28" s="11"/>
      <c r="N28" s="129"/>
      <c r="O28" s="129"/>
      <c r="P28" s="11"/>
    </row>
    <row r="29" spans="1:26" x14ac:dyDescent="0.25">
      <c r="A29" s="206" t="str">
        <f>A11</f>
        <v>Major</v>
      </c>
      <c r="B29" s="124">
        <f>IF(U11=0,0,'Phase calculation'!D34)</f>
        <v>36</v>
      </c>
      <c r="C29" s="26"/>
      <c r="D29" s="11"/>
      <c r="E29" s="540"/>
      <c r="G29" s="11"/>
      <c r="H29" s="126">
        <f>IF(AA11=0,0,'Phase calculation'!G34)</f>
        <v>37</v>
      </c>
      <c r="I29" s="207" t="str">
        <f>I11</f>
        <v>Major</v>
      </c>
      <c r="K29" s="206" t="str">
        <f>A11</f>
        <v>Major</v>
      </c>
      <c r="L29" s="44">
        <f>IF(U11=0,"N/A",'Phase calculation'!D41)</f>
        <v>2098</v>
      </c>
      <c r="M29" s="26"/>
      <c r="N29" s="11"/>
      <c r="O29" s="11"/>
      <c r="P29" s="11"/>
      <c r="R29" s="9">
        <f>IF(AA11=0,"N/A",'Phase calculation'!G41)</f>
        <v>2164</v>
      </c>
      <c r="S29" s="206" t="str">
        <f>I11</f>
        <v>Major</v>
      </c>
    </row>
    <row r="30" spans="1:26" x14ac:dyDescent="0.25">
      <c r="B30" s="5"/>
      <c r="C30" s="30"/>
      <c r="D30" s="15"/>
      <c r="E30" s="540"/>
      <c r="G30" s="15"/>
      <c r="H30" s="26"/>
      <c r="I30" s="14"/>
      <c r="L30" s="5"/>
      <c r="M30" s="30"/>
      <c r="N30" s="15"/>
      <c r="O30" s="15"/>
      <c r="P30" s="15"/>
      <c r="Q30" s="26"/>
      <c r="R30" s="24"/>
    </row>
    <row r="31" spans="1:26" x14ac:dyDescent="0.25">
      <c r="B31" s="124">
        <f>'Phase calculation'!E34</f>
        <v>36</v>
      </c>
      <c r="C31" s="31"/>
      <c r="D31" s="32"/>
      <c r="E31" s="32"/>
      <c r="F31" s="33"/>
      <c r="G31" s="15"/>
      <c r="H31" s="303">
        <f>IF(U15=0,'Phase calculation'!G34,'Phase calculation'!F34)</f>
        <v>10</v>
      </c>
      <c r="L31" s="7">
        <f>'Phase calculation'!E41</f>
        <v>699</v>
      </c>
      <c r="M31" s="31"/>
      <c r="N31" s="32"/>
      <c r="O31" s="32"/>
      <c r="P31" s="33"/>
      <c r="Q31" s="15"/>
      <c r="R31" s="27">
        <f>IF(AA13=0,"N/A",'Phase calculation'!F41)</f>
        <v>787</v>
      </c>
    </row>
    <row r="32" spans="1:26" x14ac:dyDescent="0.25">
      <c r="B32" s="5"/>
      <c r="C32" s="34"/>
      <c r="D32" s="15"/>
      <c r="E32" s="15"/>
      <c r="F32" s="15"/>
      <c r="G32" s="90"/>
      <c r="H32" s="90"/>
      <c r="L32" s="5"/>
      <c r="M32" s="34"/>
      <c r="N32" s="15"/>
      <c r="O32" s="15"/>
      <c r="P32" s="15"/>
      <c r="Q32" s="90"/>
    </row>
    <row r="33" spans="2:20" x14ac:dyDescent="0.25">
      <c r="B33" s="5"/>
      <c r="C33" s="35"/>
      <c r="D33" s="15"/>
      <c r="E33" s="15" t="s">
        <v>77</v>
      </c>
      <c r="F33" s="15"/>
      <c r="G33" s="15"/>
      <c r="H33" s="15"/>
      <c r="L33" s="5"/>
      <c r="M33" s="35"/>
      <c r="N33" s="15"/>
      <c r="O33" s="15" t="s">
        <v>77</v>
      </c>
      <c r="P33" s="15"/>
      <c r="Q33" s="15"/>
    </row>
    <row r="34" spans="2:20" x14ac:dyDescent="0.25">
      <c r="B34" s="5"/>
      <c r="C34" s="23"/>
      <c r="F34" s="15"/>
      <c r="G34" s="15"/>
      <c r="H34" s="15"/>
      <c r="L34" s="5"/>
      <c r="M34" s="23"/>
      <c r="P34" s="15"/>
      <c r="Q34" s="15"/>
    </row>
    <row r="35" spans="2:20" x14ac:dyDescent="0.25">
      <c r="D35" s="127">
        <f>IF(Z4=0,'Phase calculation'!J34,'Phase calculation'!I34)</f>
        <v>0</v>
      </c>
      <c r="E35" s="128">
        <f>IF(X17=0,0,'Phase calculation'!J34)</f>
        <v>24</v>
      </c>
      <c r="F35" s="304">
        <f>'Phase calculation'!K34</f>
        <v>24</v>
      </c>
      <c r="N35" s="36">
        <f>IF(W17=0,"N/A",'Phase calculation'!I41)</f>
        <v>119</v>
      </c>
      <c r="O35" s="37">
        <f>IF(X17=0,"N/A",'Phase calculation'!J41)</f>
        <v>874</v>
      </c>
      <c r="P35" s="245">
        <f>'Phase calculation'!K41</f>
        <v>437</v>
      </c>
    </row>
    <row r="36" spans="2:20" x14ac:dyDescent="0.25">
      <c r="D36" s="536" t="str">
        <f>D18</f>
        <v>Minor</v>
      </c>
      <c r="E36" s="536"/>
      <c r="F36" s="536"/>
      <c r="G36" s="62"/>
      <c r="H36" s="62"/>
      <c r="I36" s="62"/>
      <c r="J36" s="62"/>
      <c r="K36" s="62"/>
      <c r="L36" s="62"/>
      <c r="M36" s="62"/>
      <c r="N36" s="536" t="str">
        <f>D18</f>
        <v>Minor</v>
      </c>
      <c r="O36" s="536"/>
      <c r="P36" s="536"/>
    </row>
    <row r="37" spans="2:20" x14ac:dyDescent="0.25">
      <c r="D37" s="291"/>
      <c r="E37" s="291"/>
      <c r="F37" s="62"/>
      <c r="G37" s="62"/>
      <c r="H37" s="62"/>
      <c r="I37" s="62"/>
      <c r="J37" s="62"/>
      <c r="K37" s="62"/>
      <c r="L37" s="62"/>
      <c r="M37" s="62"/>
    </row>
    <row r="39" spans="2:20" x14ac:dyDescent="0.25">
      <c r="M39" s="547" t="s">
        <v>219</v>
      </c>
      <c r="N39" s="547"/>
      <c r="O39" s="547"/>
      <c r="P39" s="547"/>
      <c r="Q39" s="547"/>
      <c r="R39" s="547"/>
      <c r="S39" s="547"/>
    </row>
    <row r="40" spans="2:20" x14ac:dyDescent="0.25">
      <c r="B40" s="543" t="s">
        <v>218</v>
      </c>
      <c r="C40" s="543"/>
      <c r="D40" s="543"/>
      <c r="E40" s="543"/>
      <c r="F40" s="543"/>
      <c r="G40" s="543"/>
      <c r="L40" s="323"/>
      <c r="M40" s="323"/>
      <c r="O40" s="536" t="str">
        <f>D3</f>
        <v>Minor</v>
      </c>
      <c r="P40" s="536"/>
      <c r="Q40" s="536"/>
    </row>
    <row r="41" spans="2:20" x14ac:dyDescent="0.25">
      <c r="D41" s="536" t="str">
        <f>D3</f>
        <v>Minor</v>
      </c>
      <c r="E41" s="536"/>
      <c r="F41" s="536"/>
      <c r="O41" s="541">
        <f>'Phase calculation'!L46</f>
        <v>47.517142857142858</v>
      </c>
      <c r="P41" s="541"/>
      <c r="Q41" s="541"/>
    </row>
    <row r="42" spans="2:20" x14ac:dyDescent="0.25">
      <c r="B42" s="136"/>
      <c r="C42" s="136"/>
      <c r="D42" s="311">
        <f>'Phase calculation'!N40</f>
        <v>0.20594965675057209</v>
      </c>
      <c r="E42" s="137">
        <f>IF(X4=0,"N/A",'Phase calculation'!M40)</f>
        <v>0.97</v>
      </c>
      <c r="F42" s="137">
        <f>IF(Y4=0,"N/A",'Phase calculation'!L40)</f>
        <v>0.81</v>
      </c>
      <c r="G42" s="136"/>
      <c r="M42" s="259"/>
      <c r="N42" s="259"/>
      <c r="O42" s="316">
        <f>'Phase calculation'!N44</f>
        <v>20.04</v>
      </c>
      <c r="P42" s="260">
        <f>IF(X4=0,"N/A",'Phase calculation'!M44)</f>
        <v>48.68</v>
      </c>
      <c r="Q42" s="260">
        <f>IF(Y4=0,"N/A",'Phase calculation'!L44)</f>
        <v>65.11</v>
      </c>
      <c r="R42" s="259"/>
    </row>
    <row r="43" spans="2:20" x14ac:dyDescent="0.25">
      <c r="B43" s="136"/>
      <c r="C43" s="136"/>
      <c r="D43" s="136"/>
      <c r="E43" s="136"/>
      <c r="F43" s="136"/>
      <c r="G43" s="136"/>
      <c r="M43" s="259"/>
      <c r="N43" s="259"/>
      <c r="O43" s="259"/>
      <c r="P43" s="259"/>
      <c r="Q43" s="259"/>
      <c r="R43" s="259"/>
    </row>
    <row r="44" spans="2:20" x14ac:dyDescent="0.25">
      <c r="B44" s="136"/>
      <c r="C44" s="136"/>
      <c r="D44" s="136"/>
      <c r="E44" s="136"/>
      <c r="F44" s="136"/>
      <c r="G44" s="136"/>
      <c r="I44" s="17" t="s">
        <v>76</v>
      </c>
      <c r="M44" s="259"/>
      <c r="N44" s="259"/>
      <c r="O44" s="259"/>
      <c r="P44" s="259"/>
      <c r="Q44" s="259"/>
      <c r="R44" s="259"/>
      <c r="T44" s="17" t="s">
        <v>76</v>
      </c>
    </row>
    <row r="45" spans="2:20" x14ac:dyDescent="0.25">
      <c r="B45" s="136"/>
      <c r="C45" s="136"/>
      <c r="D45" s="136"/>
      <c r="E45" s="136"/>
      <c r="F45" s="136"/>
      <c r="G45" s="136"/>
      <c r="M45" s="259"/>
      <c r="N45" s="259"/>
      <c r="O45" s="259"/>
      <c r="P45" s="259"/>
      <c r="Q45" s="259"/>
      <c r="R45" s="259"/>
    </row>
    <row r="46" spans="2:20" x14ac:dyDescent="0.25">
      <c r="B46" s="136"/>
      <c r="C46" s="136"/>
      <c r="D46" s="136"/>
      <c r="E46" s="136"/>
      <c r="F46" s="136"/>
      <c r="G46" s="136"/>
      <c r="M46" s="259"/>
      <c r="N46" s="259"/>
      <c r="O46" s="259"/>
      <c r="P46" s="259"/>
      <c r="Q46" s="259"/>
      <c r="R46" s="259"/>
    </row>
    <row r="47" spans="2:20" x14ac:dyDescent="0.25">
      <c r="B47" s="138">
        <f>IF(U9=0,"N/A",'Phase calculation'!C40)</f>
        <v>0.28999999999999998</v>
      </c>
      <c r="C47" s="136"/>
      <c r="H47" s="310">
        <f>'Phase calculation'!H40</f>
        <v>0.14979195561719832</v>
      </c>
      <c r="M47" s="261">
        <f>IF(U9=0,"N/A",'Phase calculation'!C44)</f>
        <v>31.87</v>
      </c>
      <c r="N47" s="259"/>
      <c r="P47" s="313"/>
      <c r="Q47" s="259"/>
      <c r="S47" s="317">
        <f>'Phase calculation'!H44</f>
        <v>10.959999999999999</v>
      </c>
    </row>
    <row r="48" spans="2:20" x14ac:dyDescent="0.25">
      <c r="B48" s="136"/>
      <c r="C48" s="140"/>
      <c r="D48" s="546">
        <f>'Phase calculation'!T82</f>
        <v>0.9</v>
      </c>
      <c r="E48" s="546"/>
      <c r="F48" s="546"/>
      <c r="M48" s="259"/>
      <c r="N48" s="263"/>
      <c r="O48" s="539">
        <f>'Phase calculation'!T84</f>
        <v>35.64</v>
      </c>
      <c r="P48" s="539"/>
      <c r="Q48" s="539"/>
    </row>
    <row r="49" spans="1:21" x14ac:dyDescent="0.25">
      <c r="A49" s="206" t="str">
        <f>A11</f>
        <v>Major</v>
      </c>
      <c r="B49" s="138">
        <f>IF(U11=0,"N/A",'Phase calculation'!D40)</f>
        <v>0.93</v>
      </c>
      <c r="C49" s="142"/>
      <c r="D49" s="546" t="str">
        <f>'Phase calculation'!C52</f>
        <v>Near Capacity</v>
      </c>
      <c r="E49" s="546"/>
      <c r="F49" s="546"/>
      <c r="H49" s="139">
        <f>IF(AA11=0,"N/A",'Phase calculation'!G40)</f>
        <v>1.02</v>
      </c>
      <c r="I49" s="206" t="str">
        <f>I11</f>
        <v>Major</v>
      </c>
      <c r="K49" s="206" t="str">
        <f>A11</f>
        <v>Major</v>
      </c>
      <c r="L49" s="367">
        <f>'Phase calculation'!C46</f>
        <v>26.589555555555556</v>
      </c>
      <c r="M49" s="261">
        <f>IF(U11=0,"N/A",'Phase calculation'!D44)</f>
        <v>26.830000000000002</v>
      </c>
      <c r="N49" s="265"/>
      <c r="O49" s="539"/>
      <c r="P49" s="539"/>
      <c r="Q49" s="539"/>
      <c r="S49" s="262">
        <f>IF(AA11=0,"N/A",'Phase calculation'!G44)</f>
        <v>43.05</v>
      </c>
      <c r="T49" s="367">
        <f>'Phase calculation'!F46</f>
        <v>40.394046692607006</v>
      </c>
      <c r="U49" s="206" t="str">
        <f>I11</f>
        <v>Major</v>
      </c>
    </row>
    <row r="50" spans="1:21" x14ac:dyDescent="0.25">
      <c r="B50" s="136"/>
      <c r="C50" s="144"/>
      <c r="D50" s="145"/>
      <c r="E50" s="145"/>
      <c r="F50" s="145"/>
      <c r="G50" s="142"/>
      <c r="H50" s="141"/>
      <c r="M50" s="259"/>
      <c r="N50" s="267"/>
      <c r="O50" s="539"/>
      <c r="P50" s="539"/>
      <c r="Q50" s="539"/>
      <c r="R50" s="265"/>
      <c r="S50" s="264"/>
    </row>
    <row r="51" spans="1:21" x14ac:dyDescent="0.25">
      <c r="B51" s="309">
        <f>'Phase calculation'!E40</f>
        <v>0.12875536480686695</v>
      </c>
      <c r="C51" s="31"/>
      <c r="D51" s="146"/>
      <c r="E51" s="146"/>
      <c r="F51" s="147"/>
      <c r="G51" s="145"/>
      <c r="H51" s="143">
        <f>IF(AA13=0,"N/A",'Phase calculation'!F40)</f>
        <v>0.32</v>
      </c>
      <c r="M51" s="312">
        <f>'Phase calculation'!E44</f>
        <v>11.340000000000002</v>
      </c>
      <c r="N51" s="269"/>
      <c r="O51" s="270"/>
      <c r="P51" s="270"/>
      <c r="Q51" s="271"/>
      <c r="R51" s="268"/>
      <c r="S51" s="266">
        <f>IF(AA13=0,"N/A",'Phase calculation'!F44)</f>
        <v>31.15</v>
      </c>
    </row>
    <row r="52" spans="1:21" x14ac:dyDescent="0.25">
      <c r="B52" s="136"/>
      <c r="C52" s="148"/>
      <c r="D52" s="145"/>
      <c r="E52" s="145"/>
      <c r="F52" s="145"/>
      <c r="G52" s="149"/>
      <c r="M52" s="259"/>
      <c r="N52" s="272"/>
      <c r="O52" s="268"/>
      <c r="P52" s="268"/>
      <c r="Q52" s="268"/>
      <c r="R52" s="273"/>
    </row>
    <row r="53" spans="1:21" x14ac:dyDescent="0.25">
      <c r="B53" s="136"/>
      <c r="C53" s="150"/>
      <c r="D53" s="145"/>
      <c r="E53" s="145" t="s">
        <v>77</v>
      </c>
      <c r="F53" s="145"/>
      <c r="G53" s="145"/>
      <c r="M53" s="259"/>
      <c r="N53" s="274"/>
      <c r="O53" s="268"/>
      <c r="P53" s="268" t="s">
        <v>77</v>
      </c>
      <c r="Q53" s="268"/>
      <c r="R53" s="268"/>
    </row>
    <row r="54" spans="1:21" x14ac:dyDescent="0.25">
      <c r="B54" s="136"/>
      <c r="C54" s="151"/>
      <c r="G54" s="145"/>
      <c r="M54" s="259"/>
      <c r="N54" s="275"/>
      <c r="Q54" s="268"/>
      <c r="R54" s="268"/>
    </row>
    <row r="55" spans="1:21" x14ac:dyDescent="0.25">
      <c r="D55" s="152">
        <f>IF(W17=0,"N/A",'Phase calculation'!I40)</f>
        <v>0.63</v>
      </c>
      <c r="E55" s="153">
        <f>IF(X17=0,"N/A",'Phase calculation'!J40)</f>
        <v>0.74</v>
      </c>
      <c r="F55" s="152">
        <f>'Phase calculation'!K40</f>
        <v>0.12356979405034325</v>
      </c>
      <c r="O55" s="276">
        <f>IF(W17=0,"N/A",'Phase calculation'!I44)</f>
        <v>44.45</v>
      </c>
      <c r="P55" s="277">
        <f>IF(X17=0,"N/A",'Phase calculation'!J44)</f>
        <v>28.23</v>
      </c>
      <c r="Q55" s="316">
        <f>'Phase calculation'!K44</f>
        <v>19.09</v>
      </c>
    </row>
    <row r="56" spans="1:21" x14ac:dyDescent="0.25">
      <c r="D56" s="536" t="str">
        <f>D18</f>
        <v>Minor</v>
      </c>
      <c r="E56" s="536"/>
      <c r="F56" s="536"/>
      <c r="O56" s="541">
        <f>'Phase calculation'!I46</f>
        <v>29.081082802547773</v>
      </c>
      <c r="P56" s="541"/>
      <c r="Q56" s="541"/>
    </row>
    <row r="57" spans="1:21" x14ac:dyDescent="0.25">
      <c r="D57" s="88"/>
      <c r="E57" s="88"/>
      <c r="O57" s="536" t="str">
        <f>D18</f>
        <v>Minor</v>
      </c>
      <c r="P57" s="536"/>
      <c r="Q57" s="536"/>
    </row>
    <row r="58" spans="1:21" x14ac:dyDescent="0.25">
      <c r="G58" s="544" t="s">
        <v>220</v>
      </c>
      <c r="H58" s="544"/>
      <c r="I58" s="544"/>
      <c r="J58" s="544"/>
      <c r="K58" s="544"/>
      <c r="L58" s="544"/>
      <c r="M58" s="116"/>
    </row>
    <row r="59" spans="1:21" x14ac:dyDescent="0.25">
      <c r="I59" s="536" t="str">
        <f>D3</f>
        <v>Minor</v>
      </c>
      <c r="J59" s="536"/>
      <c r="K59" s="536"/>
    </row>
    <row r="60" spans="1:21" s="62" customFormat="1" x14ac:dyDescent="0.25">
      <c r="I60" s="324"/>
      <c r="J60" s="159" t="str">
        <f>'Phase calculation'!L47</f>
        <v>D</v>
      </c>
      <c r="K60" s="324"/>
    </row>
    <row r="61" spans="1:21" x14ac:dyDescent="0.25">
      <c r="G61" s="81"/>
      <c r="H61" s="81"/>
      <c r="I61" s="288" t="str">
        <f>'Phase calculation'!N45</f>
        <v>B</v>
      </c>
      <c r="J61" s="158" t="str">
        <f>'Phase calculation'!M45</f>
        <v>D</v>
      </c>
      <c r="K61" s="158" t="str">
        <f>'Phase calculation'!L45</f>
        <v>E</v>
      </c>
      <c r="L61" s="81"/>
      <c r="M61" s="5"/>
      <c r="P61" s="91" t="s">
        <v>139</v>
      </c>
      <c r="Q61" s="91" t="s">
        <v>221</v>
      </c>
    </row>
    <row r="62" spans="1:21" x14ac:dyDescent="0.25">
      <c r="G62" s="81"/>
      <c r="H62" s="81"/>
      <c r="I62" s="81"/>
      <c r="J62" s="81"/>
      <c r="K62" s="81"/>
      <c r="L62" s="81"/>
      <c r="M62" s="5"/>
      <c r="P62" s="91" t="s">
        <v>142</v>
      </c>
      <c r="Q62" s="67"/>
    </row>
    <row r="63" spans="1:21" x14ac:dyDescent="0.25">
      <c r="G63" s="81"/>
      <c r="H63" s="81"/>
      <c r="I63" s="81"/>
      <c r="J63" s="81"/>
      <c r="K63" s="81"/>
      <c r="L63" s="81"/>
      <c r="N63" s="17" t="s">
        <v>76</v>
      </c>
      <c r="P63" s="91" t="s">
        <v>143</v>
      </c>
      <c r="Q63" s="156"/>
    </row>
    <row r="64" spans="1:21" x14ac:dyDescent="0.25">
      <c r="G64" s="81"/>
      <c r="H64" s="81"/>
      <c r="I64" s="81"/>
      <c r="J64" s="81"/>
      <c r="K64" s="81"/>
      <c r="L64" s="81"/>
      <c r="M64" s="5"/>
      <c r="P64" s="91" t="s">
        <v>144</v>
      </c>
      <c r="Q64" s="157"/>
    </row>
    <row r="65" spans="5:17" x14ac:dyDescent="0.25">
      <c r="G65" s="81"/>
      <c r="H65" s="81"/>
      <c r="I65" s="81"/>
      <c r="J65" s="81"/>
      <c r="K65" s="81"/>
      <c r="L65" s="81"/>
      <c r="M65" s="5"/>
      <c r="P65" s="91" t="s">
        <v>145</v>
      </c>
      <c r="Q65" s="1"/>
    </row>
    <row r="66" spans="5:17" ht="15" customHeight="1" x14ac:dyDescent="0.25">
      <c r="G66" s="315" t="str">
        <f>'Phase calculation'!C45</f>
        <v>C</v>
      </c>
      <c r="H66" s="81"/>
      <c r="J66" s="314"/>
      <c r="K66" s="81"/>
      <c r="M66" s="161" t="str">
        <f>'Phase calculation'!H45</f>
        <v>B</v>
      </c>
      <c r="P66" s="91" t="s">
        <v>146</v>
      </c>
      <c r="Q66" s="155"/>
    </row>
    <row r="67" spans="5:17" ht="15" customHeight="1" x14ac:dyDescent="0.25">
      <c r="G67" s="82"/>
      <c r="H67" s="10"/>
      <c r="I67" s="545" t="str">
        <f>'Phase calculation'!U84</f>
        <v>D</v>
      </c>
      <c r="J67" s="545"/>
      <c r="K67" s="545"/>
      <c r="P67" s="91" t="s">
        <v>147</v>
      </c>
      <c r="Q67" s="59"/>
    </row>
    <row r="68" spans="5:17" ht="15" customHeight="1" x14ac:dyDescent="0.25">
      <c r="E68" s="206" t="str">
        <f>A11</f>
        <v>Major</v>
      </c>
      <c r="F68" s="159" t="str">
        <f>'Phase calculation'!C47</f>
        <v>C</v>
      </c>
      <c r="G68" s="82" t="str">
        <f>'Phase calculation'!D45</f>
        <v>C</v>
      </c>
      <c r="H68" s="13"/>
      <c r="I68" s="545"/>
      <c r="J68" s="545"/>
      <c r="K68" s="545"/>
      <c r="M68" s="161" t="str">
        <f>'Phase calculation'!G45</f>
        <v>D</v>
      </c>
      <c r="N68" s="159" t="str">
        <f>'Phase calculation'!F47</f>
        <v>D</v>
      </c>
      <c r="O68" s="207" t="str">
        <f>I11</f>
        <v>Major</v>
      </c>
    </row>
    <row r="69" spans="5:17" ht="15" customHeight="1" x14ac:dyDescent="0.25">
      <c r="G69" s="81"/>
      <c r="H69" s="104"/>
      <c r="I69" s="545"/>
      <c r="J69" s="545"/>
      <c r="K69" s="545"/>
      <c r="L69" s="13"/>
      <c r="M69" s="162"/>
      <c r="N69" s="10"/>
    </row>
    <row r="70" spans="5:17" x14ac:dyDescent="0.25">
      <c r="G70" s="82" t="str">
        <f>'Phase calculation'!E45</f>
        <v>B</v>
      </c>
      <c r="H70" s="31"/>
      <c r="I70" s="32"/>
      <c r="J70" s="32"/>
      <c r="K70" s="154"/>
      <c r="L70" s="16"/>
      <c r="M70" s="162" t="str">
        <f>'Phase calculation'!F45</f>
        <v>C</v>
      </c>
      <c r="N70" s="10"/>
    </row>
    <row r="71" spans="5:17" x14ac:dyDescent="0.25">
      <c r="G71" s="81"/>
      <c r="H71" s="35"/>
      <c r="I71" s="16"/>
      <c r="J71" s="16"/>
      <c r="K71" s="16"/>
      <c r="L71" s="105"/>
      <c r="M71" s="90"/>
    </row>
    <row r="72" spans="5:17" x14ac:dyDescent="0.25">
      <c r="G72" s="81"/>
      <c r="H72" s="35"/>
      <c r="I72" s="16"/>
      <c r="J72" s="16" t="s">
        <v>77</v>
      </c>
      <c r="K72" s="16"/>
      <c r="L72" s="16"/>
      <c r="M72" s="15"/>
    </row>
    <row r="73" spans="5:17" x14ac:dyDescent="0.25">
      <c r="G73" s="81"/>
      <c r="H73" s="23"/>
      <c r="K73" s="16"/>
      <c r="L73" s="16"/>
      <c r="M73" s="15"/>
    </row>
    <row r="74" spans="5:17" x14ac:dyDescent="0.25">
      <c r="I74" s="159" t="str">
        <f>'Phase calculation'!I45</f>
        <v>D</v>
      </c>
      <c r="J74" s="160" t="str">
        <f>'Phase calculation'!J45</f>
        <v>C</v>
      </c>
      <c r="K74" s="288" t="str">
        <f>'Phase calculation'!K45</f>
        <v>B</v>
      </c>
    </row>
    <row r="75" spans="5:17" x14ac:dyDescent="0.25">
      <c r="J75" s="159" t="str">
        <f>'Phase calculation'!I47</f>
        <v>C</v>
      </c>
    </row>
    <row r="76" spans="5:17" s="62" customFormat="1" x14ac:dyDescent="0.25">
      <c r="I76" s="536" t="str">
        <f>D18</f>
        <v>Minor</v>
      </c>
      <c r="J76" s="536"/>
      <c r="K76" s="536"/>
    </row>
    <row r="77" spans="5:17" ht="15.75" thickBot="1" x14ac:dyDescent="0.3"/>
    <row r="78" spans="5:17" hidden="1" x14ac:dyDescent="0.25"/>
    <row r="79" spans="5:17" s="225" customFormat="1" hidden="1" x14ac:dyDescent="0.25"/>
    <row r="80" spans="5:17" s="225" customFormat="1" hidden="1" x14ac:dyDescent="0.25"/>
    <row r="81" spans="6:19" s="225" customFormat="1" hidden="1" x14ac:dyDescent="0.25"/>
    <row r="82" spans="6:19" s="225" customFormat="1" hidden="1" x14ac:dyDescent="0.25">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x14ac:dyDescent="0.25">
      <c r="F83" s="226" t="s">
        <v>124</v>
      </c>
      <c r="G83" s="226">
        <f>'Phase calculation'!C33</f>
        <v>5</v>
      </c>
      <c r="H83" s="226">
        <f>'Phase calculation'!D33</f>
        <v>2</v>
      </c>
      <c r="I83" s="226">
        <f>'Phase calculation'!F33</f>
        <v>1</v>
      </c>
      <c r="J83" s="226">
        <f>'Phase calculation'!G33</f>
        <v>6</v>
      </c>
      <c r="K83" s="226">
        <f>'Phase calculation'!I33</f>
        <v>0</v>
      </c>
      <c r="L83" s="226">
        <f>'Phase calculation'!J33</f>
        <v>8</v>
      </c>
      <c r="M83" s="226">
        <f>'Phase calculation'!L33</f>
        <v>0</v>
      </c>
      <c r="N83" s="226">
        <f>'Phase calculation'!M33</f>
        <v>4</v>
      </c>
    </row>
    <row r="84" spans="6:19" s="225" customFormat="1" hidden="1" x14ac:dyDescent="0.25">
      <c r="F84" s="226" t="s">
        <v>321</v>
      </c>
      <c r="G84" s="226">
        <f>'Phase calculation'!C34</f>
        <v>9</v>
      </c>
      <c r="H84" s="226">
        <f>'Phase calculation'!D34</f>
        <v>36</v>
      </c>
      <c r="I84" s="226">
        <f>'Phase calculation'!F34</f>
        <v>10</v>
      </c>
      <c r="J84" s="226">
        <f>'Phase calculation'!G34</f>
        <v>37</v>
      </c>
      <c r="K84" s="226">
        <f>'Phase calculation'!I34</f>
        <v>0</v>
      </c>
      <c r="L84" s="226">
        <f>'Phase calculation'!J34</f>
        <v>24</v>
      </c>
      <c r="M84" s="226">
        <f>'Phase calculation'!L34</f>
        <v>0</v>
      </c>
      <c r="N84" s="226">
        <f>'Phase calculation'!M34</f>
        <v>24</v>
      </c>
    </row>
    <row r="85" spans="6:19" s="225" customFormat="1" hidden="1" x14ac:dyDescent="0.25">
      <c r="F85" s="226" t="s">
        <v>149</v>
      </c>
      <c r="G85" s="226">
        <f>'Phase calculation'!C41</f>
        <v>699</v>
      </c>
      <c r="H85" s="226">
        <f>'Phase calculation'!D41</f>
        <v>2098</v>
      </c>
      <c r="I85" s="226">
        <f>'Phase calculation'!F41</f>
        <v>787</v>
      </c>
      <c r="J85" s="226">
        <f>'Phase calculation'!G41</f>
        <v>2164</v>
      </c>
      <c r="K85" s="226">
        <f>'Phase calculation'!I41</f>
        <v>119</v>
      </c>
      <c r="L85" s="226">
        <f>'Phase calculation'!J41</f>
        <v>874</v>
      </c>
      <c r="M85" s="226">
        <f>'Phase calculation'!L41</f>
        <v>123</v>
      </c>
      <c r="N85" s="226">
        <f>'Phase calculation'!M41</f>
        <v>874</v>
      </c>
    </row>
    <row r="86" spans="6:19" s="225" customFormat="1" hidden="1" x14ac:dyDescent="0.25">
      <c r="F86" s="226" t="s">
        <v>135</v>
      </c>
      <c r="G86" s="226">
        <f>'Phase calculation'!C40</f>
        <v>0.28999999999999998</v>
      </c>
      <c r="H86" s="226">
        <f>'Phase calculation'!D40</f>
        <v>0.93</v>
      </c>
      <c r="I86" s="226">
        <f>'Phase calculation'!F40</f>
        <v>0.32</v>
      </c>
      <c r="J86" s="226">
        <f>'Phase calculation'!G40</f>
        <v>1.02</v>
      </c>
      <c r="K86" s="226">
        <f>'Phase calculation'!I40</f>
        <v>0.63</v>
      </c>
      <c r="L86" s="226">
        <f>'Phase calculation'!J40</f>
        <v>0.74</v>
      </c>
      <c r="M86" s="226">
        <f>'Phase calculation'!L40</f>
        <v>0.81</v>
      </c>
      <c r="N86" s="226">
        <f>'Phase calculation'!M40</f>
        <v>0.97</v>
      </c>
    </row>
    <row r="87" spans="6:19" s="225" customFormat="1" hidden="1" x14ac:dyDescent="0.25">
      <c r="F87" s="226" t="s">
        <v>150</v>
      </c>
      <c r="G87" s="226">
        <f>'Phase calculation'!C44</f>
        <v>31.87</v>
      </c>
      <c r="H87" s="226">
        <f>'Phase calculation'!D44</f>
        <v>26.830000000000002</v>
      </c>
      <c r="I87" s="226">
        <f>'Phase calculation'!F44</f>
        <v>31.15</v>
      </c>
      <c r="J87" s="226">
        <f>'Phase calculation'!G44</f>
        <v>43.05</v>
      </c>
      <c r="K87" s="226">
        <f>'Phase calculation'!I44</f>
        <v>44.45</v>
      </c>
      <c r="L87" s="226">
        <f>'Phase calculation'!J44</f>
        <v>28.23</v>
      </c>
      <c r="M87" s="226">
        <f>'Phase calculation'!L44</f>
        <v>65.11</v>
      </c>
      <c r="N87" s="226">
        <f>'Phase calculation'!M44</f>
        <v>48.68</v>
      </c>
    </row>
    <row r="88" spans="6:19" s="225" customFormat="1" hidden="1" x14ac:dyDescent="0.25">
      <c r="F88" s="226" t="s">
        <v>139</v>
      </c>
      <c r="G88" s="226" t="str">
        <f>'Phase calculation'!C45</f>
        <v>C</v>
      </c>
      <c r="H88" s="226" t="str">
        <f>'Phase calculation'!D45</f>
        <v>C</v>
      </c>
      <c r="I88" s="226" t="str">
        <f>'Phase calculation'!F45</f>
        <v>C</v>
      </c>
      <c r="J88" s="226" t="str">
        <f>'Phase calculation'!G45</f>
        <v>D</v>
      </c>
      <c r="K88" s="226" t="str">
        <f>'Phase calculation'!I45</f>
        <v>D</v>
      </c>
      <c r="L88" s="226" t="str">
        <f>'Phase calculation'!J45</f>
        <v>C</v>
      </c>
      <c r="M88" s="226" t="str">
        <f>'Phase calculation'!L45</f>
        <v>E</v>
      </c>
      <c r="N88" s="226" t="str">
        <f>'Phase calculation'!M45</f>
        <v>D</v>
      </c>
    </row>
    <row r="89" spans="6:19" s="225" customFormat="1" ht="15.75" hidden="1" thickBot="1" x14ac:dyDescent="0.3">
      <c r="G89" s="227" t="s">
        <v>325</v>
      </c>
      <c r="H89" s="227" t="s">
        <v>326</v>
      </c>
      <c r="I89" s="227" t="s">
        <v>327</v>
      </c>
      <c r="J89" s="227" t="s">
        <v>328</v>
      </c>
      <c r="K89" s="227" t="s">
        <v>329</v>
      </c>
      <c r="L89" s="227" t="s">
        <v>330</v>
      </c>
      <c r="M89" s="227" t="s">
        <v>331</v>
      </c>
      <c r="N89" s="227" t="s">
        <v>332</v>
      </c>
    </row>
    <row r="90" spans="6:19" s="226" customFormat="1" x14ac:dyDescent="0.25">
      <c r="F90" s="228" t="s">
        <v>124</v>
      </c>
      <c r="G90" s="228">
        <v>1</v>
      </c>
      <c r="H90" s="229">
        <v>2</v>
      </c>
      <c r="I90" s="229">
        <v>3</v>
      </c>
      <c r="J90" s="229">
        <v>4</v>
      </c>
      <c r="K90" s="229">
        <v>5</v>
      </c>
      <c r="L90" s="229">
        <v>6</v>
      </c>
      <c r="M90" s="229">
        <v>7</v>
      </c>
      <c r="N90" s="230">
        <v>8</v>
      </c>
    </row>
    <row r="91" spans="6:19" s="226" customFormat="1" hidden="1" x14ac:dyDescent="0.25">
      <c r="F91" s="231" t="s">
        <v>124</v>
      </c>
      <c r="G91" s="231">
        <f>IF(OR(G83=G90,M83=G90),G90,0)</f>
        <v>0</v>
      </c>
      <c r="H91" s="232">
        <f>IF(OR(J83=H90,L83=H90),H90,0)</f>
        <v>0</v>
      </c>
      <c r="I91" s="232">
        <f>IF(OR(I83=I90,M83=I90),I90,0)</f>
        <v>0</v>
      </c>
      <c r="J91" s="232">
        <f>IF(OR(H83=J90,L83=J90),J90,0)</f>
        <v>0</v>
      </c>
      <c r="K91" s="232">
        <f>IF(OR(K83=K90,I83=K90),K90,0)</f>
        <v>0</v>
      </c>
      <c r="L91" s="232">
        <f>IF(OR(H83=L90,N83=L90),L90,0)</f>
        <v>0</v>
      </c>
      <c r="M91" s="232">
        <f>IF(OR(K83=M90,G83=M90),M90,0)</f>
        <v>0</v>
      </c>
      <c r="N91" s="233">
        <f>IF(OR(N83=N90,J83=N90),N90,0)</f>
        <v>0</v>
      </c>
    </row>
    <row r="92" spans="6:19" s="226" customFormat="1" hidden="1" x14ac:dyDescent="0.25">
      <c r="F92" s="231" t="s">
        <v>320</v>
      </c>
      <c r="G92" s="231">
        <f>IF(G91=0,0,MATCH(G91,$G$83:$N$83,0))</f>
        <v>0</v>
      </c>
      <c r="H92" s="232">
        <f t="shared" ref="H92:N92" si="0">IF(H91=0,0,MATCH(H91,$G$83:$N$83,0))</f>
        <v>0</v>
      </c>
      <c r="I92" s="232">
        <f t="shared" si="0"/>
        <v>0</v>
      </c>
      <c r="J92" s="232">
        <f t="shared" si="0"/>
        <v>0</v>
      </c>
      <c r="K92" s="232">
        <f t="shared" si="0"/>
        <v>0</v>
      </c>
      <c r="L92" s="232">
        <f t="shared" si="0"/>
        <v>0</v>
      </c>
      <c r="M92" s="232">
        <f t="shared" si="0"/>
        <v>0</v>
      </c>
      <c r="N92" s="233">
        <f t="shared" si="0"/>
        <v>0</v>
      </c>
    </row>
    <row r="93" spans="6:19" s="226" customFormat="1" x14ac:dyDescent="0.25">
      <c r="F93" s="542" t="s">
        <v>73</v>
      </c>
      <c r="G93" s="231" t="str">
        <f>IF(G92=0,"Not used",INDEX($G$82:$N$82,G92))</f>
        <v>Not used</v>
      </c>
      <c r="H93" s="232" t="str">
        <f t="shared" ref="H93:N93" si="1">IF(H92=0,"Not used",INDEX($G$82:$N$82,H92))</f>
        <v>Not used</v>
      </c>
      <c r="I93" s="232" t="str">
        <f t="shared" si="1"/>
        <v>Not used</v>
      </c>
      <c r="J93" s="232" t="str">
        <f t="shared" si="1"/>
        <v>Not used</v>
      </c>
      <c r="K93" s="232" t="str">
        <f t="shared" si="1"/>
        <v>Not used</v>
      </c>
      <c r="L93" s="232" t="str">
        <f t="shared" si="1"/>
        <v>Not used</v>
      </c>
      <c r="M93" s="232" t="str">
        <f t="shared" si="1"/>
        <v>Not used</v>
      </c>
      <c r="N93" s="233" t="str">
        <f t="shared" si="1"/>
        <v>Not used</v>
      </c>
    </row>
    <row r="94" spans="6:19" s="226" customFormat="1" ht="25.5" x14ac:dyDescent="0.35">
      <c r="F94" s="542"/>
      <c r="G94" s="234" t="str">
        <f t="shared" ref="G94:N94" si="2">IF(G92=0,"",INDEX($G$89:$N$89,G92))</f>
        <v/>
      </c>
      <c r="H94" s="235" t="str">
        <f t="shared" si="2"/>
        <v/>
      </c>
      <c r="I94" s="235" t="str">
        <f t="shared" si="2"/>
        <v/>
      </c>
      <c r="J94" s="235" t="str">
        <f t="shared" si="2"/>
        <v/>
      </c>
      <c r="K94" s="235" t="str">
        <f t="shared" si="2"/>
        <v/>
      </c>
      <c r="L94" s="235" t="str">
        <f t="shared" si="2"/>
        <v/>
      </c>
      <c r="M94" s="235" t="str">
        <f t="shared" si="2"/>
        <v/>
      </c>
      <c r="N94" s="236" t="str">
        <f t="shared" si="2"/>
        <v/>
      </c>
      <c r="S94" s="227"/>
    </row>
    <row r="95" spans="6:19" s="226" customFormat="1" x14ac:dyDescent="0.25">
      <c r="F95" s="231" t="s">
        <v>322</v>
      </c>
      <c r="G95" s="231" t="str">
        <f>IF(G92=0,"Not used",INDEX($G$84:$N$84,G92))</f>
        <v>Not used</v>
      </c>
      <c r="H95" s="232" t="str">
        <f t="shared" ref="H95:N95" si="3">IF(H92=0,"Not used",INDEX($G$84:$N$84,H92))</f>
        <v>Not used</v>
      </c>
      <c r="I95" s="232" t="str">
        <f t="shared" si="3"/>
        <v>Not used</v>
      </c>
      <c r="J95" s="232" t="str">
        <f t="shared" si="3"/>
        <v>Not used</v>
      </c>
      <c r="K95" s="232" t="str">
        <f t="shared" si="3"/>
        <v>Not used</v>
      </c>
      <c r="L95" s="232" t="str">
        <f t="shared" si="3"/>
        <v>Not used</v>
      </c>
      <c r="M95" s="232" t="str">
        <f t="shared" si="3"/>
        <v>Not used</v>
      </c>
      <c r="N95" s="233" t="str">
        <f t="shared" si="3"/>
        <v>Not used</v>
      </c>
    </row>
    <row r="96" spans="6:19" s="226" customFormat="1" x14ac:dyDescent="0.25">
      <c r="F96" s="231" t="s">
        <v>323</v>
      </c>
      <c r="G96" s="231" t="str">
        <f>IF(G92=0,"Not used",INDEX($G$85:$N$85,G92))</f>
        <v>Not used</v>
      </c>
      <c r="H96" s="232" t="str">
        <f t="shared" ref="H96:N96" si="4">IF(H92=0,"Not used",INDEX($G$85:$N$85,H92))</f>
        <v>Not used</v>
      </c>
      <c r="I96" s="232" t="str">
        <f t="shared" si="4"/>
        <v>Not used</v>
      </c>
      <c r="J96" s="232" t="str">
        <f t="shared" si="4"/>
        <v>Not used</v>
      </c>
      <c r="K96" s="232" t="str">
        <f t="shared" si="4"/>
        <v>Not used</v>
      </c>
      <c r="L96" s="232" t="str">
        <f t="shared" si="4"/>
        <v>Not used</v>
      </c>
      <c r="M96" s="232" t="str">
        <f t="shared" si="4"/>
        <v>Not used</v>
      </c>
      <c r="N96" s="233" t="str">
        <f t="shared" si="4"/>
        <v>Not used</v>
      </c>
    </row>
    <row r="97" spans="6:14" s="226" customFormat="1" x14ac:dyDescent="0.25">
      <c r="F97" s="231" t="s">
        <v>135</v>
      </c>
      <c r="G97" s="231" t="str">
        <f>IF(G92=0,"Not used",INDEX($G$86:$N$86,G92))</f>
        <v>Not used</v>
      </c>
      <c r="H97" s="232" t="str">
        <f t="shared" ref="H97:N97" si="5">IF(H92=0,"Not used",INDEX($G$86:$N$86,H92))</f>
        <v>Not used</v>
      </c>
      <c r="I97" s="232" t="str">
        <f t="shared" si="5"/>
        <v>Not used</v>
      </c>
      <c r="J97" s="232" t="str">
        <f t="shared" si="5"/>
        <v>Not used</v>
      </c>
      <c r="K97" s="232" t="str">
        <f t="shared" si="5"/>
        <v>Not used</v>
      </c>
      <c r="L97" s="232" t="str">
        <f t="shared" si="5"/>
        <v>Not used</v>
      </c>
      <c r="M97" s="232" t="str">
        <f t="shared" si="5"/>
        <v>Not used</v>
      </c>
      <c r="N97" s="233" t="str">
        <f t="shared" si="5"/>
        <v>Not used</v>
      </c>
    </row>
    <row r="98" spans="6:14" s="226" customFormat="1" x14ac:dyDescent="0.25">
      <c r="F98" s="231" t="s">
        <v>324</v>
      </c>
      <c r="G98" s="231" t="str">
        <f>IF(G92=0,"Not used",INDEX($G$87:$N$87,G92))</f>
        <v>Not used</v>
      </c>
      <c r="H98" s="232" t="str">
        <f t="shared" ref="H98:N98" si="6">IF(H92=0,"Not used",INDEX($G$87:$N$87,H92))</f>
        <v>Not used</v>
      </c>
      <c r="I98" s="232" t="str">
        <f t="shared" si="6"/>
        <v>Not used</v>
      </c>
      <c r="J98" s="232" t="str">
        <f t="shared" si="6"/>
        <v>Not used</v>
      </c>
      <c r="K98" s="232" t="str">
        <f t="shared" si="6"/>
        <v>Not used</v>
      </c>
      <c r="L98" s="232" t="str">
        <f t="shared" si="6"/>
        <v>Not used</v>
      </c>
      <c r="M98" s="232" t="str">
        <f t="shared" si="6"/>
        <v>Not used</v>
      </c>
      <c r="N98" s="233" t="str">
        <f t="shared" si="6"/>
        <v>Not used</v>
      </c>
    </row>
    <row r="99" spans="6:14" s="226" customFormat="1" ht="15.75" thickBot="1" x14ac:dyDescent="0.3">
      <c r="F99" s="237" t="s">
        <v>139</v>
      </c>
      <c r="G99" s="237" t="str">
        <f>IF(G92=0,"Not used",INDEX($G$88:$N$88,G92))</f>
        <v>Not used</v>
      </c>
      <c r="H99" s="238" t="str">
        <f t="shared" ref="H99:N99" si="7">IF(H92=0,"Not used",INDEX($G$88:$N$88,H92))</f>
        <v>Not used</v>
      </c>
      <c r="I99" s="238" t="str">
        <f t="shared" si="7"/>
        <v>Not used</v>
      </c>
      <c r="J99" s="238" t="str">
        <f t="shared" si="7"/>
        <v>Not used</v>
      </c>
      <c r="K99" s="238" t="str">
        <f t="shared" si="7"/>
        <v>Not used</v>
      </c>
      <c r="L99" s="238" t="str">
        <f t="shared" si="7"/>
        <v>Not used</v>
      </c>
      <c r="M99" s="238" t="str">
        <f t="shared" si="7"/>
        <v>Not used</v>
      </c>
      <c r="N99" s="239" t="str">
        <f t="shared" si="7"/>
        <v>Not used</v>
      </c>
    </row>
    <row r="100" spans="6:14" s="226" customFormat="1" x14ac:dyDescent="0.25"/>
    <row r="101" spans="6:14" s="226" customFormat="1" x14ac:dyDescent="0.25"/>
    <row r="102" spans="6:14" s="226" customFormat="1" x14ac:dyDescent="0.25"/>
    <row r="103" spans="6:14" s="226" customFormat="1" x14ac:dyDescent="0.25"/>
    <row r="104" spans="6:14" s="226" customFormat="1" x14ac:dyDescent="0.25"/>
    <row r="105" spans="6:14" s="226" customFormat="1" x14ac:dyDescent="0.25"/>
    <row r="106" spans="6:14" s="226" customFormat="1" x14ac:dyDescent="0.25"/>
    <row r="107" spans="6:14" s="226" customFormat="1" x14ac:dyDescent="0.25"/>
    <row r="108" spans="6:14" s="226" customFormat="1" x14ac:dyDescent="0.25"/>
    <row r="109" spans="6:14" s="226" customFormat="1" x14ac:dyDescent="0.25"/>
    <row r="110" spans="6:14" s="226" customFormat="1" x14ac:dyDescent="0.25"/>
    <row r="111" spans="6:14" s="226" customFormat="1" x14ac:dyDescent="0.25"/>
    <row r="112" spans="6:14" s="226" customFormat="1" x14ac:dyDescent="0.25"/>
    <row r="113" s="226" customFormat="1" x14ac:dyDescent="0.25"/>
    <row r="114" s="226" customFormat="1" x14ac:dyDescent="0.25"/>
    <row r="115" s="225" customFormat="1" x14ac:dyDescent="0.25"/>
    <row r="116" s="225" customFormat="1" x14ac:dyDescent="0.25"/>
    <row r="117" s="225" customFormat="1" x14ac:dyDescent="0.25"/>
    <row r="118" s="225" customFormat="1" x14ac:dyDescent="0.25"/>
    <row r="119" s="225" customFormat="1" x14ac:dyDescent="0.25"/>
    <row r="120" s="225" customFormat="1" x14ac:dyDescent="0.25"/>
    <row r="121" s="225" customFormat="1" x14ac:dyDescent="0.25"/>
    <row r="122" s="225" customFormat="1" x14ac:dyDescent="0.25"/>
    <row r="123" s="225" customFormat="1" x14ac:dyDescent="0.25"/>
    <row r="124" s="225" customFormat="1" x14ac:dyDescent="0.25"/>
    <row r="125" s="225" customFormat="1" x14ac:dyDescent="0.25"/>
    <row r="126" s="225" customFormat="1" x14ac:dyDescent="0.25"/>
    <row r="127" s="225" customFormat="1" x14ac:dyDescent="0.25"/>
    <row r="128" s="225" customFormat="1" x14ac:dyDescent="0.25"/>
    <row r="129" s="225" customFormat="1" x14ac:dyDescent="0.25"/>
    <row r="130" s="225" customFormat="1" x14ac:dyDescent="0.25"/>
    <row r="131" s="225" customFormat="1" x14ac:dyDescent="0.25"/>
    <row r="132" s="225" customFormat="1" x14ac:dyDescent="0.25"/>
    <row r="133" s="225" customFormat="1" x14ac:dyDescent="0.25"/>
    <row r="134" s="225" customFormat="1" x14ac:dyDescent="0.25"/>
    <row r="135" s="225" customFormat="1" x14ac:dyDescent="0.25"/>
    <row r="136" s="225" customFormat="1" x14ac:dyDescent="0.25"/>
    <row r="137" s="225" customFormat="1" x14ac:dyDescent="0.25"/>
    <row r="138" s="225" customFormat="1" x14ac:dyDescent="0.25"/>
    <row r="139" s="225" customFormat="1" x14ac:dyDescent="0.25"/>
    <row r="140" s="225" customFormat="1" x14ac:dyDescent="0.25"/>
    <row r="141" s="225" customFormat="1" x14ac:dyDescent="0.25"/>
    <row r="142" s="225" customFormat="1" x14ac:dyDescent="0.25"/>
    <row r="143" s="225" customFormat="1" x14ac:dyDescent="0.25"/>
    <row r="144" s="225" customFormat="1" x14ac:dyDescent="0.25"/>
    <row r="145" s="225" customFormat="1" x14ac:dyDescent="0.25"/>
    <row r="146" s="225" customFormat="1" x14ac:dyDescent="0.25"/>
    <row r="147" s="225" customFormat="1" x14ac:dyDescent="0.25"/>
    <row r="148" s="225" customFormat="1" x14ac:dyDescent="0.25"/>
    <row r="149" s="225" customFormat="1" x14ac:dyDescent="0.25"/>
    <row r="150" s="225" customFormat="1" x14ac:dyDescent="0.25"/>
    <row r="151" s="225" customFormat="1" x14ac:dyDescent="0.25"/>
    <row r="152" s="225" customFormat="1" x14ac:dyDescent="0.25"/>
    <row r="153" s="225" customFormat="1" x14ac:dyDescent="0.25"/>
    <row r="154" s="225" customFormat="1" x14ac:dyDescent="0.25"/>
    <row r="155" s="225" customFormat="1" x14ac:dyDescent="0.25"/>
    <row r="156" s="225" customFormat="1" x14ac:dyDescent="0.25"/>
    <row r="157" s="225" customFormat="1" x14ac:dyDescent="0.25"/>
    <row r="158" s="225" customFormat="1" x14ac:dyDescent="0.25"/>
    <row r="159" s="225" customFormat="1" x14ac:dyDescent="0.25"/>
    <row r="160" s="225" customFormat="1" x14ac:dyDescent="0.25"/>
    <row r="161" s="225" customFormat="1" x14ac:dyDescent="0.25"/>
    <row r="162" s="225" customFormat="1" x14ac:dyDescent="0.25"/>
    <row r="163" s="225" customFormat="1" x14ac:dyDescent="0.25"/>
    <row r="164" s="225" customFormat="1" x14ac:dyDescent="0.25"/>
    <row r="165" s="225" customFormat="1" x14ac:dyDescent="0.25"/>
    <row r="166" s="225" customFormat="1" x14ac:dyDescent="0.25"/>
    <row r="167" s="225" customFormat="1" x14ac:dyDescent="0.25"/>
    <row r="168" s="225" customFormat="1" x14ac:dyDescent="0.25"/>
    <row r="169" s="225" customFormat="1" x14ac:dyDescent="0.25"/>
    <row r="170" s="225" customFormat="1" x14ac:dyDescent="0.25"/>
    <row r="171" s="225" customFormat="1" x14ac:dyDescent="0.25"/>
    <row r="172" s="225" customFormat="1" x14ac:dyDescent="0.25"/>
    <row r="173" s="225" customFormat="1" x14ac:dyDescent="0.25"/>
    <row r="174" s="225" customFormat="1" x14ac:dyDescent="0.25"/>
    <row r="175" s="225" customFormat="1" x14ac:dyDescent="0.25"/>
    <row r="176" s="225" customFormat="1" x14ac:dyDescent="0.25"/>
    <row r="177" s="225" customFormat="1" x14ac:dyDescent="0.25"/>
    <row r="178" s="225" customFormat="1" x14ac:dyDescent="0.25"/>
    <row r="179" s="225" customFormat="1" x14ac:dyDescent="0.25"/>
    <row r="180" s="225" customFormat="1" x14ac:dyDescent="0.25"/>
    <row r="181" s="225" customFormat="1" x14ac:dyDescent="0.25"/>
    <row r="182" s="225" customFormat="1" x14ac:dyDescent="0.25"/>
    <row r="183" s="225" customFormat="1" x14ac:dyDescent="0.25"/>
    <row r="184" s="225" customFormat="1" x14ac:dyDescent="0.25"/>
    <row r="185" s="225" customFormat="1" x14ac:dyDescent="0.25"/>
    <row r="186" s="225" customFormat="1" x14ac:dyDescent="0.25"/>
    <row r="187" s="225" customFormat="1" x14ac:dyDescent="0.25"/>
    <row r="188" s="225" customFormat="1" x14ac:dyDescent="0.25"/>
    <row r="189" s="225" customFormat="1" x14ac:dyDescent="0.25"/>
    <row r="190" s="225" customFormat="1" x14ac:dyDescent="0.25"/>
    <row r="191" s="225" customFormat="1" x14ac:dyDescent="0.25"/>
    <row r="192" s="225" customFormat="1" x14ac:dyDescent="0.25"/>
    <row r="193" s="225" customFormat="1" x14ac:dyDescent="0.25"/>
    <row r="194" s="225" customFormat="1" x14ac:dyDescent="0.25"/>
    <row r="195" s="225" customFormat="1" x14ac:dyDescent="0.25"/>
    <row r="196" s="225" customFormat="1" x14ac:dyDescent="0.25"/>
    <row r="197" s="225" customFormat="1" x14ac:dyDescent="0.25"/>
    <row r="198" s="225" customFormat="1" x14ac:dyDescent="0.25"/>
    <row r="199" s="225" customFormat="1" x14ac:dyDescent="0.25"/>
    <row r="200" s="225" customFormat="1" x14ac:dyDescent="0.25"/>
    <row r="201" s="225" customFormat="1" x14ac:dyDescent="0.25"/>
    <row r="202" s="225" customFormat="1" x14ac:dyDescent="0.25"/>
    <row r="203" s="225" customFormat="1" x14ac:dyDescent="0.25"/>
    <row r="204" s="225" customFormat="1" x14ac:dyDescent="0.25"/>
    <row r="205" s="225" customFormat="1" x14ac:dyDescent="0.25"/>
    <row r="206" s="225" customFormat="1" x14ac:dyDescent="0.25"/>
    <row r="207" s="225" customFormat="1" x14ac:dyDescent="0.25"/>
    <row r="208" s="225" customFormat="1" x14ac:dyDescent="0.25"/>
    <row r="209" s="225" customFormat="1" x14ac:dyDescent="0.25"/>
    <row r="210" s="225" customFormat="1" x14ac:dyDescent="0.25"/>
    <row r="211" s="225" customFormat="1" x14ac:dyDescent="0.25"/>
    <row r="212" s="225" customFormat="1" x14ac:dyDescent="0.25"/>
    <row r="213" s="225" customFormat="1" x14ac:dyDescent="0.25"/>
    <row r="214" s="225" customFormat="1" x14ac:dyDescent="0.25"/>
    <row r="215" s="225" customFormat="1" x14ac:dyDescent="0.25"/>
    <row r="216" s="225" customFormat="1" x14ac:dyDescent="0.25"/>
    <row r="217" s="225" customFormat="1" x14ac:dyDescent="0.25"/>
    <row r="218" s="225" customFormat="1" x14ac:dyDescent="0.25"/>
    <row r="219" s="225" customFormat="1" x14ac:dyDescent="0.25"/>
    <row r="220" s="225" customFormat="1" x14ac:dyDescent="0.25"/>
    <row r="221" s="225" customFormat="1" x14ac:dyDescent="0.25"/>
    <row r="222" s="225" customFormat="1" x14ac:dyDescent="0.25"/>
    <row r="223" s="225" customFormat="1" x14ac:dyDescent="0.25"/>
    <row r="224" s="225" customFormat="1" x14ac:dyDescent="0.25"/>
    <row r="225" s="225" customFormat="1" x14ac:dyDescent="0.25"/>
    <row r="226" s="225" customFormat="1" x14ac:dyDescent="0.25"/>
    <row r="227" s="225" customFormat="1" x14ac:dyDescent="0.25"/>
    <row r="228" s="225" customFormat="1" x14ac:dyDescent="0.25"/>
    <row r="229" s="225" customFormat="1" x14ac:dyDescent="0.25"/>
    <row r="230" s="225" customFormat="1" x14ac:dyDescent="0.25"/>
    <row r="231" s="225" customFormat="1" x14ac:dyDescent="0.25"/>
    <row r="232" s="225" customFormat="1" x14ac:dyDescent="0.25"/>
    <row r="233" s="225" customFormat="1" x14ac:dyDescent="0.25"/>
    <row r="234" s="225" customFormat="1" x14ac:dyDescent="0.25"/>
    <row r="235" s="225" customFormat="1" x14ac:dyDescent="0.25"/>
    <row r="236" s="225" customFormat="1" x14ac:dyDescent="0.25"/>
    <row r="237" s="225" customFormat="1" x14ac:dyDescent="0.25"/>
    <row r="238" s="225" customFormat="1" x14ac:dyDescent="0.25"/>
    <row r="239" s="225" customFormat="1" x14ac:dyDescent="0.25"/>
    <row r="240" s="225" customFormat="1" x14ac:dyDescent="0.25"/>
    <row r="241" s="225" customFormat="1" x14ac:dyDescent="0.25"/>
    <row r="242" s="225" customFormat="1" x14ac:dyDescent="0.25"/>
    <row r="243" s="225" customFormat="1" x14ac:dyDescent="0.25"/>
    <row r="244" s="225" customFormat="1" x14ac:dyDescent="0.25"/>
    <row r="245" s="225" customFormat="1" x14ac:dyDescent="0.25"/>
    <row r="246" s="225" customFormat="1" x14ac:dyDescent="0.25"/>
    <row r="247" s="225" customFormat="1" x14ac:dyDescent="0.25"/>
    <row r="248" s="225" customFormat="1" x14ac:dyDescent="0.25"/>
  </sheetData>
  <mergeCells count="30">
    <mergeCell ref="D36:F36"/>
    <mergeCell ref="D48:F48"/>
    <mergeCell ref="D49:F49"/>
    <mergeCell ref="O40:Q40"/>
    <mergeCell ref="M39:S39"/>
    <mergeCell ref="O41:Q41"/>
    <mergeCell ref="F93:F94"/>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G11"/>
  <sheetViews>
    <sheetView workbookViewId="0">
      <selection activeCell="A7" sqref="A7:IV7"/>
    </sheetView>
  </sheetViews>
  <sheetFormatPr defaultRowHeight="15" x14ac:dyDescent="0.25"/>
  <cols>
    <col min="1" max="1" width="21.5703125" bestFit="1" customWidth="1"/>
  </cols>
  <sheetData>
    <row r="2" spans="1:7" x14ac:dyDescent="0.25">
      <c r="C2" s="493" t="s">
        <v>281</v>
      </c>
      <c r="D2" s="493"/>
      <c r="E2" s="493"/>
      <c r="F2" s="493"/>
      <c r="G2" s="493"/>
    </row>
    <row r="3" spans="1:7" x14ac:dyDescent="0.25">
      <c r="A3" t="s">
        <v>280</v>
      </c>
      <c r="B3" s="1" t="s">
        <v>261</v>
      </c>
      <c r="C3" s="76">
        <v>30</v>
      </c>
      <c r="D3" s="76">
        <v>50</v>
      </c>
      <c r="E3" s="76">
        <v>70</v>
      </c>
      <c r="F3" s="76">
        <v>90</v>
      </c>
      <c r="G3" s="76">
        <v>110</v>
      </c>
    </row>
    <row r="4" spans="1:7" x14ac:dyDescent="0.25">
      <c r="A4">
        <v>25</v>
      </c>
      <c r="B4">
        <v>3</v>
      </c>
      <c r="C4">
        <v>1.4</v>
      </c>
      <c r="D4">
        <v>1.9</v>
      </c>
      <c r="E4">
        <v>2.5</v>
      </c>
      <c r="F4">
        <v>3</v>
      </c>
      <c r="G4">
        <v>3.5</v>
      </c>
    </row>
    <row r="5" spans="1:7" x14ac:dyDescent="0.25">
      <c r="A5">
        <v>30</v>
      </c>
      <c r="B5">
        <v>3.2</v>
      </c>
      <c r="C5">
        <v>1.1000000000000001</v>
      </c>
      <c r="D5">
        <v>1.6</v>
      </c>
      <c r="E5">
        <v>2</v>
      </c>
      <c r="F5">
        <v>2.5</v>
      </c>
      <c r="G5">
        <v>3</v>
      </c>
    </row>
    <row r="6" spans="1:7" x14ac:dyDescent="0.25">
      <c r="A6">
        <v>35</v>
      </c>
      <c r="B6">
        <v>3.6</v>
      </c>
      <c r="C6">
        <v>1</v>
      </c>
      <c r="D6">
        <v>1.4</v>
      </c>
      <c r="E6">
        <v>1.8</v>
      </c>
      <c r="F6">
        <v>2.1</v>
      </c>
      <c r="G6">
        <v>2.5</v>
      </c>
    </row>
    <row r="7" spans="1:7" x14ac:dyDescent="0.25">
      <c r="A7">
        <v>40</v>
      </c>
      <c r="B7">
        <v>3.9</v>
      </c>
      <c r="C7">
        <v>0.9</v>
      </c>
      <c r="D7">
        <v>1.2</v>
      </c>
      <c r="E7">
        <v>1.5</v>
      </c>
      <c r="F7">
        <v>1.9</v>
      </c>
      <c r="G7">
        <v>2.2000000000000002</v>
      </c>
    </row>
    <row r="8" spans="1:7" x14ac:dyDescent="0.25">
      <c r="A8">
        <v>45</v>
      </c>
      <c r="B8">
        <v>4.3</v>
      </c>
      <c r="C8">
        <v>0.8</v>
      </c>
      <c r="D8">
        <v>1.1000000000000001</v>
      </c>
      <c r="E8">
        <v>1.4</v>
      </c>
      <c r="F8">
        <v>1.7</v>
      </c>
      <c r="G8">
        <v>2</v>
      </c>
    </row>
    <row r="9" spans="1:7" x14ac:dyDescent="0.25">
      <c r="A9">
        <v>50</v>
      </c>
      <c r="B9">
        <v>4.7</v>
      </c>
      <c r="C9">
        <v>0.7</v>
      </c>
      <c r="D9">
        <v>1</v>
      </c>
      <c r="E9">
        <v>1.2</v>
      </c>
      <c r="F9">
        <v>1.5</v>
      </c>
      <c r="G9">
        <v>1.8</v>
      </c>
    </row>
    <row r="10" spans="1:7" x14ac:dyDescent="0.25">
      <c r="A10">
        <v>55</v>
      </c>
      <c r="B10">
        <v>5</v>
      </c>
      <c r="C10">
        <v>0.6</v>
      </c>
      <c r="D10">
        <v>0.9</v>
      </c>
      <c r="E10">
        <v>1.1000000000000001</v>
      </c>
      <c r="F10">
        <v>1.4</v>
      </c>
      <c r="G10">
        <v>1.6</v>
      </c>
    </row>
    <row r="11" spans="1:7" x14ac:dyDescent="0.25">
      <c r="A11">
        <v>60</v>
      </c>
      <c r="B11">
        <v>5.4</v>
      </c>
      <c r="C11">
        <v>0.6</v>
      </c>
      <c r="D11">
        <v>0.8</v>
      </c>
      <c r="E11">
        <v>1</v>
      </c>
      <c r="F11">
        <v>1.2</v>
      </c>
      <c r="G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48" t="s">
        <v>310</v>
      </c>
      <c r="C1" s="548"/>
      <c r="D1" s="548"/>
    </row>
    <row r="2" spans="2:9" x14ac:dyDescent="0.25">
      <c r="B2" s="210"/>
      <c r="C2" s="548" t="s">
        <v>298</v>
      </c>
      <c r="D2" s="548"/>
    </row>
    <row r="3" spans="2:9" x14ac:dyDescent="0.25">
      <c r="B3" s="208" t="s">
        <v>297</v>
      </c>
      <c r="C3" s="171">
        <v>3</v>
      </c>
      <c r="D3" s="208">
        <v>4</v>
      </c>
      <c r="G3" s="220" t="s">
        <v>297</v>
      </c>
      <c r="H3" s="223" t="s">
        <v>311</v>
      </c>
      <c r="I3" s="43" t="s">
        <v>312</v>
      </c>
    </row>
    <row r="4" spans="2:9" x14ac:dyDescent="0.25">
      <c r="B4" s="209">
        <v>20</v>
      </c>
      <c r="C4" s="210">
        <v>90</v>
      </c>
      <c r="D4" s="209">
        <v>115</v>
      </c>
      <c r="G4" s="221">
        <v>25</v>
      </c>
      <c r="H4" s="65">
        <v>60</v>
      </c>
      <c r="I4" s="222">
        <v>0.8</v>
      </c>
    </row>
    <row r="5" spans="2:9" x14ac:dyDescent="0.25">
      <c r="B5" s="209">
        <v>25</v>
      </c>
      <c r="C5" s="210">
        <v>110</v>
      </c>
      <c r="D5" s="209">
        <v>145</v>
      </c>
      <c r="G5" s="221">
        <v>30</v>
      </c>
      <c r="H5" s="65">
        <v>60</v>
      </c>
      <c r="I5" s="222">
        <v>2.1</v>
      </c>
    </row>
    <row r="6" spans="2:9" x14ac:dyDescent="0.25">
      <c r="B6" s="209">
        <v>30</v>
      </c>
      <c r="C6" s="210">
        <v>130</v>
      </c>
      <c r="D6" s="209">
        <v>175</v>
      </c>
      <c r="G6" s="221">
        <v>35</v>
      </c>
      <c r="H6" s="65">
        <v>55</v>
      </c>
      <c r="I6" s="222">
        <v>1</v>
      </c>
    </row>
    <row r="7" spans="2:9" x14ac:dyDescent="0.25">
      <c r="B7" s="209">
        <v>35</v>
      </c>
      <c r="C7" s="210">
        <v>155</v>
      </c>
      <c r="D7" s="209">
        <v>205</v>
      </c>
      <c r="G7" s="221">
        <v>40</v>
      </c>
      <c r="H7" s="65">
        <v>70</v>
      </c>
      <c r="I7" s="222">
        <v>1.6</v>
      </c>
    </row>
    <row r="8" spans="2:9" x14ac:dyDescent="0.25">
      <c r="B8" s="209">
        <v>40</v>
      </c>
      <c r="C8" s="210">
        <v>180</v>
      </c>
      <c r="D8" s="209">
        <v>235</v>
      </c>
      <c r="G8" s="221">
        <v>45</v>
      </c>
      <c r="H8" s="65">
        <v>75</v>
      </c>
      <c r="I8" s="222">
        <v>1</v>
      </c>
    </row>
    <row r="9" spans="2:9" x14ac:dyDescent="0.25">
      <c r="B9" s="209">
        <v>45</v>
      </c>
      <c r="C9" s="210">
        <v>200</v>
      </c>
      <c r="D9" s="209">
        <v>265</v>
      </c>
      <c r="G9" s="221">
        <v>50</v>
      </c>
      <c r="H9" s="65">
        <v>75</v>
      </c>
      <c r="I9" s="222">
        <v>1</v>
      </c>
    </row>
    <row r="10" spans="2:9" x14ac:dyDescent="0.25">
      <c r="B10" s="209">
        <v>50</v>
      </c>
      <c r="D10" s="209">
        <v>265</v>
      </c>
      <c r="G10" s="221">
        <v>55</v>
      </c>
      <c r="H10" s="65">
        <v>75</v>
      </c>
      <c r="I10" s="222">
        <v>1</v>
      </c>
    </row>
    <row r="11" spans="2:9" x14ac:dyDescent="0.25">
      <c r="B11" s="209">
        <v>55</v>
      </c>
      <c r="D11" s="209">
        <v>265</v>
      </c>
    </row>
    <row r="16" spans="2:9" x14ac:dyDescent="0.25">
      <c r="B16" s="222" t="s">
        <v>314</v>
      </c>
      <c r="C16" s="499" t="s">
        <v>315</v>
      </c>
      <c r="D16" s="499"/>
      <c r="E16" s="499"/>
      <c r="F16" s="499"/>
      <c r="G16" s="499"/>
      <c r="H16" s="499"/>
      <c r="I16" s="499"/>
    </row>
    <row r="17" spans="2:9" x14ac:dyDescent="0.25">
      <c r="B17" t="s">
        <v>313</v>
      </c>
      <c r="C17" s="221">
        <v>25</v>
      </c>
      <c r="D17" s="221">
        <v>30</v>
      </c>
      <c r="E17" s="221">
        <v>35</v>
      </c>
      <c r="F17" s="221">
        <v>40</v>
      </c>
      <c r="G17" s="221">
        <v>45</v>
      </c>
      <c r="H17" s="221">
        <v>50</v>
      </c>
      <c r="I17" s="221">
        <v>55</v>
      </c>
    </row>
    <row r="18" spans="2:9" x14ac:dyDescent="0.25">
      <c r="B18" s="65">
        <v>55</v>
      </c>
      <c r="C18" s="222">
        <v>1.7</v>
      </c>
      <c r="D18" s="222">
        <v>2.1</v>
      </c>
      <c r="E18" s="222">
        <v>2.2999999999999998</v>
      </c>
      <c r="F18" s="222">
        <v>2.6</v>
      </c>
      <c r="G18" s="222">
        <v>2.7</v>
      </c>
      <c r="H18" s="222">
        <v>2.7</v>
      </c>
      <c r="I18" s="222">
        <v>2.7</v>
      </c>
    </row>
    <row r="19" spans="2:9" x14ac:dyDescent="0.25">
      <c r="B19" s="65">
        <v>60</v>
      </c>
      <c r="C19" s="222">
        <v>1.5</v>
      </c>
      <c r="D19" s="222">
        <v>2</v>
      </c>
      <c r="E19" s="222">
        <v>2.2000000000000002</v>
      </c>
      <c r="F19" s="222">
        <v>2.5</v>
      </c>
      <c r="G19" s="222">
        <v>2.6</v>
      </c>
      <c r="H19" s="222">
        <v>2.6</v>
      </c>
      <c r="I19" s="222">
        <v>2.6</v>
      </c>
    </row>
    <row r="20" spans="2:9" x14ac:dyDescent="0.25">
      <c r="B20" s="65">
        <v>65</v>
      </c>
      <c r="C20" s="222">
        <v>1.4</v>
      </c>
      <c r="D20" s="222">
        <v>1.8</v>
      </c>
      <c r="E20" s="222">
        <v>2.1</v>
      </c>
      <c r="F20" s="222">
        <v>2.4</v>
      </c>
      <c r="G20" s="222">
        <v>2.5</v>
      </c>
      <c r="H20" s="222">
        <v>2.5</v>
      </c>
      <c r="I20" s="222">
        <v>2.5</v>
      </c>
    </row>
    <row r="21" spans="2:9" x14ac:dyDescent="0.25">
      <c r="B21" s="65">
        <v>70</v>
      </c>
      <c r="C21" s="222">
        <v>1.2</v>
      </c>
      <c r="D21" s="222">
        <v>1.7</v>
      </c>
      <c r="E21" s="222">
        <v>2</v>
      </c>
      <c r="F21" s="222">
        <v>2.2999999999999998</v>
      </c>
      <c r="G21" s="222">
        <v>2.4</v>
      </c>
      <c r="H21" s="222">
        <v>2.4</v>
      </c>
      <c r="I21" s="222">
        <v>2.4</v>
      </c>
    </row>
    <row r="22" spans="2:9" x14ac:dyDescent="0.25">
      <c r="B22" s="65">
        <v>75</v>
      </c>
      <c r="C22" s="222">
        <v>1.1000000000000001</v>
      </c>
      <c r="D22" s="222">
        <v>1.6</v>
      </c>
      <c r="E22" s="222">
        <v>1.9</v>
      </c>
      <c r="F22" s="222">
        <v>2.2000000000000002</v>
      </c>
      <c r="G22" s="222">
        <v>2.4</v>
      </c>
      <c r="H22" s="222">
        <v>2.4</v>
      </c>
      <c r="I22" s="222">
        <v>2.4</v>
      </c>
    </row>
    <row r="25" spans="2:9" x14ac:dyDescent="0.25">
      <c r="B25" s="222" t="s">
        <v>318</v>
      </c>
      <c r="C25" s="499" t="s">
        <v>319</v>
      </c>
      <c r="D25" s="499"/>
      <c r="E25" s="499"/>
      <c r="F25" s="499"/>
      <c r="G25" s="499"/>
      <c r="H25" s="499"/>
      <c r="I25" s="499"/>
    </row>
    <row r="26" spans="2:9" x14ac:dyDescent="0.25">
      <c r="B26" t="s">
        <v>313</v>
      </c>
      <c r="C26" s="221">
        <v>25</v>
      </c>
      <c r="D26" s="221">
        <v>30</v>
      </c>
      <c r="E26" s="221">
        <v>35</v>
      </c>
      <c r="F26" s="221">
        <v>40</v>
      </c>
      <c r="G26" s="221">
        <v>45</v>
      </c>
      <c r="H26" s="221">
        <v>50</v>
      </c>
      <c r="I26" s="221">
        <v>55</v>
      </c>
    </row>
    <row r="27" spans="2:9" x14ac:dyDescent="0.25">
      <c r="B27" s="65">
        <v>55</v>
      </c>
      <c r="C27" s="222">
        <v>0</v>
      </c>
      <c r="D27" s="222">
        <v>0.1</v>
      </c>
      <c r="E27" s="222">
        <v>0.3</v>
      </c>
      <c r="F27" s="222">
        <v>0.6</v>
      </c>
      <c r="G27" s="222">
        <v>0.7</v>
      </c>
      <c r="H27" s="222">
        <v>0.7</v>
      </c>
      <c r="I27" s="222">
        <v>0.7</v>
      </c>
    </row>
    <row r="28" spans="2:9" x14ac:dyDescent="0.25">
      <c r="B28" s="65">
        <v>60</v>
      </c>
      <c r="C28" s="222">
        <v>0</v>
      </c>
      <c r="D28" s="222">
        <v>0</v>
      </c>
      <c r="E28" s="222">
        <v>0.2</v>
      </c>
      <c r="F28" s="222">
        <v>0.5</v>
      </c>
      <c r="G28" s="222">
        <v>0.6</v>
      </c>
      <c r="H28" s="222">
        <v>0.6</v>
      </c>
      <c r="I28" s="222">
        <v>0.6</v>
      </c>
    </row>
    <row r="29" spans="2:9" x14ac:dyDescent="0.25">
      <c r="B29" s="65">
        <v>65</v>
      </c>
      <c r="C29" s="222">
        <v>0</v>
      </c>
      <c r="D29" s="222">
        <v>0</v>
      </c>
      <c r="E29" s="222">
        <v>0.1</v>
      </c>
      <c r="F29" s="222">
        <v>0.4</v>
      </c>
      <c r="G29" s="222">
        <v>0.5</v>
      </c>
      <c r="H29" s="222">
        <v>0.5</v>
      </c>
      <c r="I29" s="222">
        <v>0.5</v>
      </c>
    </row>
    <row r="30" spans="2:9" x14ac:dyDescent="0.25">
      <c r="B30" s="65">
        <v>70</v>
      </c>
      <c r="C30" s="222">
        <v>0</v>
      </c>
      <c r="D30" s="222">
        <v>0</v>
      </c>
      <c r="E30" s="222">
        <v>0</v>
      </c>
      <c r="F30" s="222">
        <v>0.3</v>
      </c>
      <c r="G30" s="222">
        <v>0.3</v>
      </c>
      <c r="H30" s="222">
        <v>0.3</v>
      </c>
      <c r="I30" s="222">
        <v>0.3</v>
      </c>
    </row>
    <row r="31" spans="2:9" x14ac:dyDescent="0.25">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Sheet1</vt:lpstr>
      <vt:lpstr>Input sheet</vt:lpstr>
      <vt:lpstr>Phase designation</vt:lpstr>
      <vt:lpstr>Lane volumes</vt:lpstr>
      <vt:lpstr>Phase calculation</vt:lpstr>
      <vt:lpstr>Max greens</vt:lpstr>
      <vt:lpstr>LOS table</vt:lpstr>
      <vt:lpstr>Phasing</vt:lpstr>
      <vt:lpstr>Summary sheet</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2020-02-18T18:34:23Z</dcterms:modified>
</cp:coreProperties>
</file>